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Helmy_LCollins/Desktop/"/>
    </mc:Choice>
  </mc:AlternateContent>
  <xr:revisionPtr revIDLastSave="0" documentId="8_{1CAF2EF5-B633-8242-8DFD-FB25AE2E4ACA}" xr6:coauthVersionLast="47" xr6:coauthVersionMax="47" xr10:uidLastSave="{00000000-0000-0000-0000-000000000000}"/>
  <bookViews>
    <workbookView xWindow="0" yWindow="500" windowWidth="35840" windowHeight="20540" activeTab="3" xr2:uid="{00000000-000D-0000-FFFF-FFFF00000000}"/>
  </bookViews>
  <sheets>
    <sheet name="ASSUMPTIONS" sheetId="1" r:id="rId1"/>
    <sheet name="SOURCES &amp; USES" sheetId="2" r:id="rId2"/>
    <sheet name="DEBT SCHEDULE" sheetId="3" r:id="rId3"/>
    <sheet name="ANNUAL CASH FLOW" sheetId="4" r:id="rId4"/>
    <sheet name="REFERENCE DATA" sheetId="5" state="hidden" r:id="rId5"/>
  </sheets>
  <definedNames>
    <definedName name="Amortization_Years">ASSUMPTIONS!$B$81</definedName>
    <definedName name="Annual_Debt_Service">'DEBT SCHEDULE'!$B$7</definedName>
    <definedName name="Avg_Current_Rent">ASSUMPTIONS!$D$27</definedName>
    <definedName name="Avg_Market_Rent">ASSUMPTIONS!$E$27</definedName>
    <definedName name="CapEx_Per_Unit">ASSUMPTIONS!$B$75</definedName>
    <definedName name="Common_Area_Reno">ASSUMPTIONS!$B$65</definedName>
    <definedName name="Exit_Cap_Rate">ASSUMPTIONS!$B$90</definedName>
    <definedName name="Hold_Period">ASSUMPTIONS!$B$89</definedName>
    <definedName name="InPlace_Rent_Growth">ASSUMPTIONS!$B$71</definedName>
    <definedName name="Interest_Rate">ASSUMPTIONS!$B$80</definedName>
    <definedName name="Levered_IRR">'ANNUAL CASH FLOW'!$B$49</definedName>
    <definedName name="Loan_Amount">ASSUMPTIONS!$B$86</definedName>
    <definedName name="LTV">ASSUMPTIONS!$B$79</definedName>
    <definedName name="Market_Rent_Growth">ASSUMPTIONS!$B$70</definedName>
    <definedName name="Mgmt_Fee_Pct">ASSUMPTIONS!$B$53</definedName>
    <definedName name="Monthly_Payment">'DEBT SCHEDULE'!$B$6</definedName>
    <definedName name="OpEx_Growth">ASSUMPTIONS!$B$73</definedName>
    <definedName name="Other_Income_Growth">ASSUMPTIONS!$B$72</definedName>
    <definedName name="Prop13_Cap">ASSUMPTIONS!$B$95</definedName>
    <definedName name="Purchase_Price">ASSUMPTIONS!$B$16</definedName>
    <definedName name="Reno_Contingency_Pct">ASSUMPTIONS!$B$66</definedName>
    <definedName name="Sale_Costs_Pct">ASSUMPTIONS!$B$91</definedName>
    <definedName name="Special_Assessments">ASSUMPTIONS!$B$96</definedName>
    <definedName name="Stabilized_Vacancy">ASSUMPTIONS!$B$74</definedName>
    <definedName name="T12_EGI">ASSUMPTIONS!$B$42</definedName>
    <definedName name="T12_GPR">ASSUMPTIONS!$B$32</definedName>
    <definedName name="T12_NOI">ASSUMPTIONS!$B$60</definedName>
    <definedName name="T12_OpEx">ASSUMPTIONS!$B$59</definedName>
    <definedName name="T12_Other_Income">ASSUMPTIONS!$B$38</definedName>
    <definedName name="Tax_Rate">ASSUMPTIONS!$B$94</definedName>
    <definedName name="Total_Equity">'SOURCES &amp; USES'!$B$5</definedName>
    <definedName name="Total_Renovation_Budget">ASSUMPTIONS!$B$67</definedName>
    <definedName name="Total_Unit_Reno_Cost">ASSUMPTIONS!$F$27</definedName>
    <definedName name="Total_Units">ASSUMPTIONS!$B$27</definedName>
    <definedName name="Total_Uses">'SOURCES &amp; USES'!$B$23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4" l="1"/>
  <c r="K20" i="4"/>
  <c r="J20" i="4"/>
  <c r="I20" i="4"/>
  <c r="H20" i="4"/>
  <c r="G20" i="4"/>
  <c r="F20" i="4"/>
  <c r="E20" i="4"/>
  <c r="D20" i="4"/>
  <c r="C20" i="4"/>
  <c r="B20" i="4"/>
  <c r="L19" i="4"/>
  <c r="K19" i="4"/>
  <c r="J19" i="4"/>
  <c r="I19" i="4"/>
  <c r="H19" i="4"/>
  <c r="G19" i="4"/>
  <c r="F19" i="4"/>
  <c r="E19" i="4"/>
  <c r="D19" i="4"/>
  <c r="C19" i="4"/>
  <c r="B19" i="4"/>
  <c r="L18" i="4"/>
  <c r="K18" i="4"/>
  <c r="J18" i="4"/>
  <c r="I18" i="4"/>
  <c r="H18" i="4"/>
  <c r="G18" i="4"/>
  <c r="F18" i="4"/>
  <c r="E18" i="4"/>
  <c r="D18" i="4"/>
  <c r="C18" i="4"/>
  <c r="B18" i="4"/>
  <c r="L16" i="4"/>
  <c r="K16" i="4"/>
  <c r="J16" i="4"/>
  <c r="I16" i="4"/>
  <c r="H16" i="4"/>
  <c r="G16" i="4"/>
  <c r="F16" i="4"/>
  <c r="E16" i="4"/>
  <c r="D16" i="4"/>
  <c r="C16" i="4"/>
  <c r="B16" i="4"/>
  <c r="L14" i="4"/>
  <c r="K14" i="4"/>
  <c r="J14" i="4"/>
  <c r="I14" i="4"/>
  <c r="H14" i="4"/>
  <c r="G14" i="4"/>
  <c r="F14" i="4"/>
  <c r="E14" i="4"/>
  <c r="D14" i="4"/>
  <c r="C14" i="4"/>
  <c r="B14" i="4"/>
  <c r="L13" i="4"/>
  <c r="K13" i="4"/>
  <c r="J13" i="4"/>
  <c r="I13" i="4"/>
  <c r="H13" i="4"/>
  <c r="G13" i="4"/>
  <c r="F13" i="4"/>
  <c r="E13" i="4"/>
  <c r="D13" i="4"/>
  <c r="C13" i="4"/>
  <c r="B13" i="4"/>
  <c r="B5" i="3"/>
  <c r="B4" i="3"/>
  <c r="B20" i="2"/>
  <c r="B19" i="2"/>
  <c r="B21" i="2" s="1"/>
  <c r="B16" i="2"/>
  <c r="B13" i="2"/>
  <c r="B23" i="2" s="1"/>
  <c r="B28" i="2" s="1"/>
  <c r="B12" i="2"/>
  <c r="B11" i="2"/>
  <c r="B10" i="2"/>
  <c r="B86" i="1"/>
  <c r="B41" i="4" s="1"/>
  <c r="B67" i="1"/>
  <c r="B27" i="2" s="1"/>
  <c r="B64" i="1"/>
  <c r="B38" i="1"/>
  <c r="F27" i="1"/>
  <c r="E27" i="1"/>
  <c r="D27" i="1"/>
  <c r="B32" i="1" s="1"/>
  <c r="B27" i="1"/>
  <c r="B26" i="2" s="1"/>
  <c r="D5" i="4" l="1"/>
  <c r="C5" i="4"/>
  <c r="B5" i="4"/>
  <c r="B42" i="1"/>
  <c r="B6" i="4"/>
  <c r="L6" i="4"/>
  <c r="K6" i="4"/>
  <c r="J6" i="4"/>
  <c r="I6" i="4"/>
  <c r="H6" i="4"/>
  <c r="G6" i="4"/>
  <c r="F6" i="4"/>
  <c r="E6" i="4"/>
  <c r="D6" i="4"/>
  <c r="C6" i="4"/>
  <c r="J17" i="4"/>
  <c r="I17" i="4"/>
  <c r="H17" i="4"/>
  <c r="G17" i="4"/>
  <c r="F17" i="4"/>
  <c r="E17" i="4"/>
  <c r="D17" i="4"/>
  <c r="C17" i="4"/>
  <c r="B17" i="4"/>
  <c r="K17" i="4"/>
  <c r="B3" i="3"/>
  <c r="D30" i="4"/>
  <c r="C30" i="4"/>
  <c r="B30" i="4"/>
  <c r="B4" i="2"/>
  <c r="B6" i="3"/>
  <c r="C11" i="3"/>
  <c r="L17" i="4"/>
  <c r="G29" i="4"/>
  <c r="F29" i="4"/>
  <c r="L5" i="4"/>
  <c r="E29" i="4"/>
  <c r="K5" i="4"/>
  <c r="D29" i="4"/>
  <c r="J5" i="4"/>
  <c r="C29" i="4"/>
  <c r="I5" i="4"/>
  <c r="B29" i="4"/>
  <c r="H5" i="4"/>
  <c r="G5" i="4"/>
  <c r="G7" i="4" s="1"/>
  <c r="F5" i="4"/>
  <c r="F7" i="4" s="1"/>
  <c r="E5" i="4"/>
  <c r="E7" i="4" s="1"/>
  <c r="L29" i="4"/>
  <c r="K29" i="4"/>
  <c r="J29" i="4"/>
  <c r="I29" i="4"/>
  <c r="H29" i="4"/>
  <c r="C27" i="1"/>
  <c r="F363" i="3" l="1"/>
  <c r="F347" i="3"/>
  <c r="F331" i="3"/>
  <c r="F315" i="3"/>
  <c r="F299" i="3"/>
  <c r="F283" i="3"/>
  <c r="F267" i="3"/>
  <c r="F251" i="3"/>
  <c r="F235" i="3"/>
  <c r="F219" i="3"/>
  <c r="F356" i="3"/>
  <c r="F340" i="3"/>
  <c r="F324" i="3"/>
  <c r="F308" i="3"/>
  <c r="F365" i="3"/>
  <c r="F349" i="3"/>
  <c r="F333" i="3"/>
  <c r="F317" i="3"/>
  <c r="F301" i="3"/>
  <c r="F285" i="3"/>
  <c r="F358" i="3"/>
  <c r="F342" i="3"/>
  <c r="F326" i="3"/>
  <c r="F310" i="3"/>
  <c r="F294" i="3"/>
  <c r="F278" i="3"/>
  <c r="F367" i="3"/>
  <c r="F351" i="3"/>
  <c r="F335" i="3"/>
  <c r="F319" i="3"/>
  <c r="F303" i="3"/>
  <c r="F287" i="3"/>
  <c r="F271" i="3"/>
  <c r="F360" i="3"/>
  <c r="F344" i="3"/>
  <c r="F328" i="3"/>
  <c r="F312" i="3"/>
  <c r="F296" i="3"/>
  <c r="F280" i="3"/>
  <c r="F264" i="3"/>
  <c r="F248" i="3"/>
  <c r="F232" i="3"/>
  <c r="F216" i="3"/>
  <c r="F369" i="3"/>
  <c r="F353" i="3"/>
  <c r="F337" i="3"/>
  <c r="F321" i="3"/>
  <c r="F305" i="3"/>
  <c r="F289" i="3"/>
  <c r="F362" i="3"/>
  <c r="F346" i="3"/>
  <c r="F330" i="3"/>
  <c r="F314" i="3"/>
  <c r="F355" i="3"/>
  <c r="F339" i="3"/>
  <c r="F323" i="3"/>
  <c r="F307" i="3"/>
  <c r="F364" i="3"/>
  <c r="F348" i="3"/>
  <c r="F332" i="3"/>
  <c r="F316" i="3"/>
  <c r="F300" i="3"/>
  <c r="F357" i="3"/>
  <c r="F341" i="3"/>
  <c r="F325" i="3"/>
  <c r="F366" i="3"/>
  <c r="F350" i="3"/>
  <c r="F334" i="3"/>
  <c r="F359" i="3"/>
  <c r="F311" i="3"/>
  <c r="F295" i="3"/>
  <c r="F273" i="3"/>
  <c r="F270" i="3"/>
  <c r="F254" i="3"/>
  <c r="F220" i="3"/>
  <c r="F210" i="3"/>
  <c r="F194" i="3"/>
  <c r="F178" i="3"/>
  <c r="F162" i="3"/>
  <c r="F146" i="3"/>
  <c r="F130" i="3"/>
  <c r="F292" i="3"/>
  <c r="F258" i="3"/>
  <c r="F244" i="3"/>
  <c r="F230" i="3"/>
  <c r="F206" i="3"/>
  <c r="F184" i="3"/>
  <c r="F167" i="3"/>
  <c r="F145" i="3"/>
  <c r="F128" i="3"/>
  <c r="F123" i="3"/>
  <c r="F109" i="3"/>
  <c r="F93" i="3"/>
  <c r="F77" i="3"/>
  <c r="F61" i="3"/>
  <c r="F45" i="3"/>
  <c r="F29" i="3"/>
  <c r="F13" i="3"/>
  <c r="F338" i="3"/>
  <c r="F327" i="3"/>
  <c r="F320" i="3"/>
  <c r="F266" i="3"/>
  <c r="F255" i="3"/>
  <c r="F241" i="3"/>
  <c r="F227" i="3"/>
  <c r="F201" i="3"/>
  <c r="F196" i="3"/>
  <c r="F179" i="3"/>
  <c r="F157" i="3"/>
  <c r="F140" i="3"/>
  <c r="F118" i="3"/>
  <c r="F102" i="3"/>
  <c r="F291" i="3"/>
  <c r="F276" i="3"/>
  <c r="F269" i="3"/>
  <c r="F252" i="3"/>
  <c r="F238" i="3"/>
  <c r="F191" i="3"/>
  <c r="F174" i="3"/>
  <c r="F152" i="3"/>
  <c r="F336" i="3"/>
  <c r="F313" i="3"/>
  <c r="F263" i="3"/>
  <c r="F224" i="3"/>
  <c r="F213" i="3"/>
  <c r="F208" i="3"/>
  <c r="F203" i="3"/>
  <c r="F186" i="3"/>
  <c r="F169" i="3"/>
  <c r="F164" i="3"/>
  <c r="F286" i="3"/>
  <c r="F279" i="3"/>
  <c r="F272" i="3"/>
  <c r="F260" i="3"/>
  <c r="F249" i="3"/>
  <c r="F246" i="3"/>
  <c r="F221" i="3"/>
  <c r="F198" i="3"/>
  <c r="F181" i="3"/>
  <c r="F159" i="3"/>
  <c r="F345" i="3"/>
  <c r="F318" i="3"/>
  <c r="F306" i="3"/>
  <c r="F282" i="3"/>
  <c r="F275" i="3"/>
  <c r="F257" i="3"/>
  <c r="F243" i="3"/>
  <c r="F218" i="3"/>
  <c r="F193" i="3"/>
  <c r="F176" i="3"/>
  <c r="F171" i="3"/>
  <c r="F154" i="3"/>
  <c r="F268" i="3"/>
  <c r="F354" i="3"/>
  <c r="F343" i="3"/>
  <c r="F304" i="3"/>
  <c r="F370" i="3"/>
  <c r="F309" i="3"/>
  <c r="F290" i="3"/>
  <c r="F265" i="3"/>
  <c r="F242" i="3"/>
  <c r="F237" i="3"/>
  <c r="F195" i="3"/>
  <c r="F156" i="3"/>
  <c r="F137" i="3"/>
  <c r="F126" i="3"/>
  <c r="F97" i="3"/>
  <c r="F80" i="3"/>
  <c r="F58" i="3"/>
  <c r="F41" i="3"/>
  <c r="F19" i="3"/>
  <c r="F368" i="3"/>
  <c r="F277" i="3"/>
  <c r="F233" i="3"/>
  <c r="F211" i="3"/>
  <c r="F183" i="3"/>
  <c r="F172" i="3"/>
  <c r="F134" i="3"/>
  <c r="F120" i="3"/>
  <c r="F92" i="3"/>
  <c r="F75" i="3"/>
  <c r="F70" i="3"/>
  <c r="F53" i="3"/>
  <c r="F36" i="3"/>
  <c r="F31" i="3"/>
  <c r="F14" i="3"/>
  <c r="F322" i="3"/>
  <c r="F259" i="3"/>
  <c r="F250" i="3"/>
  <c r="F223" i="3"/>
  <c r="F175" i="3"/>
  <c r="F142" i="3"/>
  <c r="F131" i="3"/>
  <c r="F117" i="3"/>
  <c r="F112" i="3"/>
  <c r="F297" i="3"/>
  <c r="F245" i="3"/>
  <c r="F214" i="3"/>
  <c r="F202" i="3"/>
  <c r="F163" i="3"/>
  <c r="F139" i="3"/>
  <c r="F125" i="3"/>
  <c r="F94" i="3"/>
  <c r="F236" i="3"/>
  <c r="F205" i="3"/>
  <c r="F166" i="3"/>
  <c r="F288" i="3"/>
  <c r="F281" i="3"/>
  <c r="F231" i="3"/>
  <c r="F182" i="3"/>
  <c r="F147" i="3"/>
  <c r="F106" i="3"/>
  <c r="F96" i="3"/>
  <c r="F74" i="3"/>
  <c r="F57" i="3"/>
  <c r="F35" i="3"/>
  <c r="F274" i="3"/>
  <c r="F217" i="3"/>
  <c r="F197" i="3"/>
  <c r="F158" i="3"/>
  <c r="F141" i="3"/>
  <c r="F127" i="3"/>
  <c r="F352" i="3"/>
  <c r="F302" i="3"/>
  <c r="F293" i="3"/>
  <c r="F262" i="3"/>
  <c r="F212" i="3"/>
  <c r="F185" i="3"/>
  <c r="F173" i="3"/>
  <c r="F116" i="3"/>
  <c r="F103" i="3"/>
  <c r="F98" i="3"/>
  <c r="F76" i="3"/>
  <c r="F59" i="3"/>
  <c r="F54" i="3"/>
  <c r="F239" i="3"/>
  <c r="F234" i="3"/>
  <c r="F200" i="3"/>
  <c r="F189" i="3"/>
  <c r="F161" i="3"/>
  <c r="F150" i="3"/>
  <c r="F229" i="3"/>
  <c r="F225" i="3"/>
  <c r="F188" i="3"/>
  <c r="F177" i="3"/>
  <c r="F149" i="3"/>
  <c r="F329" i="3"/>
  <c r="F298" i="3"/>
  <c r="F256" i="3"/>
  <c r="F192" i="3"/>
  <c r="F180" i="3"/>
  <c r="F284" i="3"/>
  <c r="F261" i="3"/>
  <c r="F247" i="3"/>
  <c r="F215" i="3"/>
  <c r="F207" i="3"/>
  <c r="F187" i="3"/>
  <c r="F82" i="3"/>
  <c r="F69" i="3"/>
  <c r="F56" i="3"/>
  <c r="F43" i="3"/>
  <c r="F34" i="3"/>
  <c r="F25" i="3"/>
  <c r="F11" i="3"/>
  <c r="F153" i="3"/>
  <c r="F95" i="3"/>
  <c r="F72" i="3"/>
  <c r="F22" i="3"/>
  <c r="F73" i="3"/>
  <c r="F115" i="3"/>
  <c r="F88" i="3"/>
  <c r="F85" i="3"/>
  <c r="F49" i="3"/>
  <c r="F46" i="3"/>
  <c r="F361" i="3"/>
  <c r="F253" i="3"/>
  <c r="F124" i="3"/>
  <c r="F65" i="3"/>
  <c r="F62" i="3"/>
  <c r="F16" i="3"/>
  <c r="B7" i="3"/>
  <c r="F199" i="3"/>
  <c r="F151" i="3"/>
  <c r="F144" i="3"/>
  <c r="F129" i="3"/>
  <c r="F119" i="3"/>
  <c r="F110" i="3"/>
  <c r="F91" i="3"/>
  <c r="F78" i="3"/>
  <c r="F52" i="3"/>
  <c r="F33" i="3"/>
  <c r="F30" i="3"/>
  <c r="F100" i="3"/>
  <c r="F44" i="3"/>
  <c r="F170" i="3"/>
  <c r="F160" i="3"/>
  <c r="F114" i="3"/>
  <c r="F81" i="3"/>
  <c r="F55" i="3"/>
  <c r="F42" i="3"/>
  <c r="F39" i="3"/>
  <c r="F27" i="3"/>
  <c r="F23" i="3"/>
  <c r="F20" i="3"/>
  <c r="F138" i="3"/>
  <c r="F105" i="3"/>
  <c r="F101" i="3"/>
  <c r="F71" i="3"/>
  <c r="F68" i="3"/>
  <c r="F24" i="3"/>
  <c r="F21" i="3"/>
  <c r="F143" i="3"/>
  <c r="F133" i="3"/>
  <c r="F87" i="3"/>
  <c r="F84" i="3"/>
  <c r="F48" i="3"/>
  <c r="F60" i="3"/>
  <c r="F50" i="3"/>
  <c r="F228" i="3"/>
  <c r="F168" i="3"/>
  <c r="F113" i="3"/>
  <c r="F18" i="3"/>
  <c r="F47" i="3"/>
  <c r="F132" i="3"/>
  <c r="F108" i="3"/>
  <c r="F104" i="3"/>
  <c r="F90" i="3"/>
  <c r="F64" i="3"/>
  <c r="F51" i="3"/>
  <c r="F38" i="3"/>
  <c r="F26" i="3"/>
  <c r="F15" i="3"/>
  <c r="F226" i="3"/>
  <c r="F209" i="3"/>
  <c r="F148" i="3"/>
  <c r="F122" i="3"/>
  <c r="F67" i="3"/>
  <c r="F32" i="3"/>
  <c r="F83" i="3"/>
  <c r="F12" i="3"/>
  <c r="F165" i="3"/>
  <c r="F86" i="3"/>
  <c r="F17" i="3"/>
  <c r="F28" i="3"/>
  <c r="F240" i="3"/>
  <c r="F190" i="3"/>
  <c r="F136" i="3"/>
  <c r="F222" i="3"/>
  <c r="F155" i="3"/>
  <c r="F121" i="3"/>
  <c r="F107" i="3"/>
  <c r="F89" i="3"/>
  <c r="F63" i="3"/>
  <c r="F204" i="3"/>
  <c r="F135" i="3"/>
  <c r="F111" i="3"/>
  <c r="F99" i="3"/>
  <c r="F79" i="3"/>
  <c r="F66" i="3"/>
  <c r="F40" i="3"/>
  <c r="F37" i="3"/>
  <c r="F9" i="4"/>
  <c r="F10" i="4"/>
  <c r="K7" i="4"/>
  <c r="H7" i="4"/>
  <c r="B54" i="1"/>
  <c r="B59" i="1" s="1"/>
  <c r="B60" i="1" s="1"/>
  <c r="B5" i="2"/>
  <c r="I7" i="4"/>
  <c r="G9" i="4"/>
  <c r="G10" i="4"/>
  <c r="J7" i="4"/>
  <c r="L7" i="4"/>
  <c r="C7" i="4"/>
  <c r="E9" i="4"/>
  <c r="E10" i="4" s="1"/>
  <c r="B7" i="4"/>
  <c r="E11" i="3"/>
  <c r="I11" i="3" s="1"/>
  <c r="D7" i="4"/>
  <c r="E21" i="4" l="1"/>
  <c r="L9" i="4"/>
  <c r="L10" i="4"/>
  <c r="G21" i="4"/>
  <c r="C9" i="4"/>
  <c r="C10" i="4"/>
  <c r="B48" i="4"/>
  <c r="B6" i="2"/>
  <c r="I9" i="4"/>
  <c r="I10" i="4"/>
  <c r="D9" i="4"/>
  <c r="D10" i="4" s="1"/>
  <c r="D11" i="3"/>
  <c r="C15" i="4"/>
  <c r="B61" i="1"/>
  <c r="L15" i="4" s="1"/>
  <c r="H9" i="4"/>
  <c r="H10" i="4"/>
  <c r="K9" i="4"/>
  <c r="K10" i="4"/>
  <c r="J9" i="4"/>
  <c r="J10" i="4"/>
  <c r="F21" i="4"/>
  <c r="B9" i="4"/>
  <c r="B10" i="4"/>
  <c r="J31" i="4"/>
  <c r="I31" i="4"/>
  <c r="H31" i="4"/>
  <c r="G31" i="4"/>
  <c r="F31" i="4"/>
  <c r="E31" i="4"/>
  <c r="D31" i="4"/>
  <c r="C31" i="4"/>
  <c r="L31" i="4"/>
  <c r="K31" i="4"/>
  <c r="D21" i="4" l="1"/>
  <c r="C22" i="4"/>
  <c r="I21" i="4"/>
  <c r="H21" i="4"/>
  <c r="B15" i="4"/>
  <c r="D15" i="4"/>
  <c r="D22" i="4" s="1"/>
  <c r="D24" i="4" s="1"/>
  <c r="E15" i="4"/>
  <c r="E22" i="4" s="1"/>
  <c r="E24" i="4" s="1"/>
  <c r="B21" i="4"/>
  <c r="F15" i="4"/>
  <c r="F22" i="4" s="1"/>
  <c r="F24" i="4" s="1"/>
  <c r="G15" i="4"/>
  <c r="G22" i="4" s="1"/>
  <c r="G24" i="4" s="1"/>
  <c r="C24" i="4"/>
  <c r="C21" i="4"/>
  <c r="H15" i="4"/>
  <c r="I15" i="4"/>
  <c r="J15" i="4"/>
  <c r="J22" i="4" s="1"/>
  <c r="J24" i="4" s="1"/>
  <c r="J21" i="4"/>
  <c r="K15" i="4"/>
  <c r="L21" i="4"/>
  <c r="L22" i="4" s="1"/>
  <c r="L24" i="4" s="1"/>
  <c r="K21" i="4"/>
  <c r="H11" i="3"/>
  <c r="G11" i="3"/>
  <c r="C12" i="3" s="1"/>
  <c r="D34" i="4" l="1"/>
  <c r="D44" i="4" s="1"/>
  <c r="C37" i="4"/>
  <c r="C38" i="4" s="1"/>
  <c r="D25" i="4"/>
  <c r="D32" i="4"/>
  <c r="D26" i="4"/>
  <c r="I37" i="4"/>
  <c r="I38" i="4" s="1"/>
  <c r="J25" i="4"/>
  <c r="J32" i="4"/>
  <c r="J26" i="4"/>
  <c r="J34" i="4"/>
  <c r="J44" i="4" s="1"/>
  <c r="L25" i="4"/>
  <c r="L32" i="4"/>
  <c r="L26" i="4"/>
  <c r="L34" i="4"/>
  <c r="L37" i="4"/>
  <c r="L38" i="4" s="1"/>
  <c r="K37" i="4"/>
  <c r="K38" i="4" s="1"/>
  <c r="C34" i="4"/>
  <c r="C44" i="4" s="1"/>
  <c r="B37" i="4"/>
  <c r="B38" i="4" s="1"/>
  <c r="C25" i="4"/>
  <c r="C32" i="4"/>
  <c r="C26" i="4"/>
  <c r="B53" i="4"/>
  <c r="B52" i="4"/>
  <c r="F37" i="4"/>
  <c r="F38" i="4" s="1"/>
  <c r="G25" i="4"/>
  <c r="G32" i="4"/>
  <c r="G26" i="4"/>
  <c r="G34" i="4"/>
  <c r="G44" i="4" s="1"/>
  <c r="E12" i="3"/>
  <c r="K22" i="4"/>
  <c r="K24" i="4" s="1"/>
  <c r="I22" i="4"/>
  <c r="I24" i="4" s="1"/>
  <c r="H22" i="4"/>
  <c r="H24" i="4" s="1"/>
  <c r="E37" i="4"/>
  <c r="E38" i="4" s="1"/>
  <c r="F25" i="4"/>
  <c r="F32" i="4"/>
  <c r="F34" i="4"/>
  <c r="F44" i="4" s="1"/>
  <c r="F26" i="4"/>
  <c r="E34" i="4"/>
  <c r="D37" i="4"/>
  <c r="D38" i="4" s="1"/>
  <c r="E25" i="4"/>
  <c r="E32" i="4"/>
  <c r="E26" i="4"/>
  <c r="B22" i="4"/>
  <c r="B24" i="4" s="1"/>
  <c r="K39" i="4" l="1"/>
  <c r="K40" i="4" s="1"/>
  <c r="K42" i="4" s="1"/>
  <c r="F39" i="4"/>
  <c r="F40" i="4" s="1"/>
  <c r="F42" i="4" s="1"/>
  <c r="L39" i="4"/>
  <c r="L40" i="4" s="1"/>
  <c r="L42" i="4" s="1"/>
  <c r="L44" i="4" s="1"/>
  <c r="E44" i="4"/>
  <c r="B51" i="4"/>
  <c r="I39" i="4"/>
  <c r="I40" i="4" s="1"/>
  <c r="I42" i="4" s="1"/>
  <c r="B26" i="4"/>
  <c r="B34" i="4"/>
  <c r="B44" i="4" s="1"/>
  <c r="B25" i="4"/>
  <c r="E39" i="4"/>
  <c r="E40" i="4" s="1"/>
  <c r="E42" i="4" s="1"/>
  <c r="G37" i="4"/>
  <c r="G38" i="4" s="1"/>
  <c r="H25" i="4"/>
  <c r="H32" i="4"/>
  <c r="H26" i="4"/>
  <c r="H34" i="4"/>
  <c r="H44" i="4" s="1"/>
  <c r="B39" i="4"/>
  <c r="B40" i="4"/>
  <c r="B42" i="4" s="1"/>
  <c r="C39" i="4"/>
  <c r="C40" i="4"/>
  <c r="C42" i="4" s="1"/>
  <c r="J37" i="4"/>
  <c r="J38" i="4" s="1"/>
  <c r="K25" i="4"/>
  <c r="K32" i="4"/>
  <c r="K26" i="4"/>
  <c r="K34" i="4"/>
  <c r="K44" i="4" s="1"/>
  <c r="D12" i="3"/>
  <c r="I12" i="3"/>
  <c r="D39" i="4"/>
  <c r="D40" i="4"/>
  <c r="D42" i="4" s="1"/>
  <c r="H37" i="4"/>
  <c r="H38" i="4" s="1"/>
  <c r="I25" i="4"/>
  <c r="I32" i="4"/>
  <c r="I26" i="4"/>
  <c r="I34" i="4"/>
  <c r="I44" i="4" s="1"/>
  <c r="J39" i="4" l="1"/>
  <c r="J40" i="4" s="1"/>
  <c r="J42" i="4" s="1"/>
  <c r="H12" i="3"/>
  <c r="G12" i="3"/>
  <c r="C13" i="3" s="1"/>
  <c r="B49" i="4"/>
  <c r="B50" i="4"/>
  <c r="H39" i="4"/>
  <c r="H40" i="4" s="1"/>
  <c r="H42" i="4" s="1"/>
  <c r="G39" i="4"/>
  <c r="G40" i="4" s="1"/>
  <c r="G42" i="4" s="1"/>
  <c r="E13" i="3" l="1"/>
  <c r="D13" i="3" l="1"/>
  <c r="I13" i="3"/>
  <c r="G13" i="3" l="1"/>
  <c r="C14" i="3" s="1"/>
  <c r="H13" i="3"/>
  <c r="E14" i="3" l="1"/>
  <c r="D14" i="3" l="1"/>
  <c r="I14" i="3"/>
  <c r="H14" i="3" l="1"/>
  <c r="G14" i="3"/>
  <c r="C15" i="3" s="1"/>
  <c r="E15" i="3" l="1"/>
  <c r="D15" i="3" l="1"/>
  <c r="I15" i="3"/>
  <c r="G15" i="3" l="1"/>
  <c r="C16" i="3" s="1"/>
  <c r="H15" i="3"/>
  <c r="E16" i="3" l="1"/>
  <c r="D16" i="3" l="1"/>
  <c r="I16" i="3"/>
  <c r="H16" i="3" l="1"/>
  <c r="G16" i="3"/>
  <c r="C17" i="3" s="1"/>
  <c r="E17" i="3" l="1"/>
  <c r="D17" i="3" l="1"/>
  <c r="I17" i="3"/>
  <c r="H17" i="3" l="1"/>
  <c r="G17" i="3"/>
  <c r="C18" i="3" s="1"/>
  <c r="E18" i="3" l="1"/>
  <c r="D18" i="3" l="1"/>
  <c r="I18" i="3"/>
  <c r="G18" i="3" l="1"/>
  <c r="C19" i="3" s="1"/>
  <c r="H18" i="3"/>
  <c r="E19" i="3" l="1"/>
  <c r="D19" i="3" l="1"/>
  <c r="I19" i="3"/>
  <c r="H19" i="3" l="1"/>
  <c r="G19" i="3"/>
  <c r="C20" i="3" s="1"/>
  <c r="E20" i="3" l="1"/>
  <c r="D20" i="3" l="1"/>
  <c r="I20" i="3"/>
  <c r="G20" i="3" l="1"/>
  <c r="C21" i="3" s="1"/>
  <c r="H20" i="3"/>
  <c r="E21" i="3" l="1"/>
  <c r="D21" i="3" l="1"/>
  <c r="I21" i="3"/>
  <c r="H21" i="3" l="1"/>
  <c r="G21" i="3"/>
  <c r="C22" i="3" s="1"/>
  <c r="E22" i="3" l="1"/>
  <c r="D22" i="3" l="1"/>
  <c r="I22" i="3"/>
  <c r="H22" i="3" l="1"/>
  <c r="G22" i="3"/>
  <c r="C23" i="3" s="1"/>
  <c r="E23" i="3" l="1"/>
  <c r="D23" i="3" l="1"/>
  <c r="I23" i="3"/>
  <c r="H23" i="3" l="1"/>
  <c r="G23" i="3"/>
  <c r="C24" i="3" s="1"/>
  <c r="E24" i="3" l="1"/>
  <c r="D24" i="3" l="1"/>
  <c r="I24" i="3"/>
  <c r="H24" i="3" l="1"/>
  <c r="G24" i="3"/>
  <c r="C25" i="3" s="1"/>
  <c r="E25" i="3" l="1"/>
  <c r="D25" i="3" l="1"/>
  <c r="I25" i="3"/>
  <c r="H25" i="3" l="1"/>
  <c r="G25" i="3"/>
  <c r="C26" i="3" s="1"/>
  <c r="E26" i="3" l="1"/>
  <c r="D26" i="3" l="1"/>
  <c r="I26" i="3"/>
  <c r="G26" i="3" l="1"/>
  <c r="C27" i="3" s="1"/>
  <c r="H26" i="3"/>
  <c r="E27" i="3" l="1"/>
  <c r="D27" i="3" l="1"/>
  <c r="I27" i="3"/>
  <c r="H27" i="3" l="1"/>
  <c r="G27" i="3"/>
  <c r="C28" i="3" s="1"/>
  <c r="E28" i="3" l="1"/>
  <c r="D28" i="3" l="1"/>
  <c r="I28" i="3"/>
  <c r="H28" i="3" l="1"/>
  <c r="G28" i="3"/>
  <c r="C29" i="3" s="1"/>
  <c r="E29" i="3" l="1"/>
  <c r="D29" i="3" l="1"/>
  <c r="I29" i="3"/>
  <c r="H29" i="3" l="1"/>
  <c r="G29" i="3"/>
  <c r="C30" i="3" s="1"/>
  <c r="E30" i="3" l="1"/>
  <c r="D30" i="3" l="1"/>
  <c r="I30" i="3"/>
  <c r="G30" i="3" l="1"/>
  <c r="C31" i="3" s="1"/>
  <c r="H30" i="3"/>
  <c r="E31" i="3" l="1"/>
  <c r="D31" i="3" l="1"/>
  <c r="I31" i="3"/>
  <c r="H31" i="3" l="1"/>
  <c r="G31" i="3"/>
  <c r="C32" i="3" s="1"/>
  <c r="E32" i="3" l="1"/>
  <c r="D32" i="3" l="1"/>
  <c r="I32" i="3"/>
  <c r="H32" i="3" l="1"/>
  <c r="G32" i="3"/>
  <c r="C33" i="3" s="1"/>
  <c r="E33" i="3" l="1"/>
  <c r="D33" i="3" l="1"/>
  <c r="I33" i="3"/>
  <c r="G33" i="3" l="1"/>
  <c r="C34" i="3" s="1"/>
  <c r="H33" i="3"/>
  <c r="E34" i="3" l="1"/>
  <c r="D34" i="3" l="1"/>
  <c r="I34" i="3"/>
  <c r="H34" i="3" l="1"/>
  <c r="G34" i="3"/>
  <c r="C35" i="3" s="1"/>
  <c r="E35" i="3" l="1"/>
  <c r="D35" i="3" l="1"/>
  <c r="I35" i="3"/>
  <c r="H35" i="3" l="1"/>
  <c r="G35" i="3"/>
  <c r="C36" i="3" s="1"/>
  <c r="E36" i="3" l="1"/>
  <c r="D36" i="3" l="1"/>
  <c r="I36" i="3"/>
  <c r="G36" i="3" l="1"/>
  <c r="C37" i="3" s="1"/>
  <c r="H36" i="3"/>
  <c r="E37" i="3" l="1"/>
  <c r="D37" i="3" l="1"/>
  <c r="I37" i="3"/>
  <c r="H37" i="3" l="1"/>
  <c r="G37" i="3"/>
  <c r="C38" i="3" s="1"/>
  <c r="E38" i="3" l="1"/>
  <c r="D38" i="3" l="1"/>
  <c r="I38" i="3"/>
  <c r="G38" i="3" l="1"/>
  <c r="C39" i="3" s="1"/>
  <c r="H38" i="3"/>
  <c r="E39" i="3" l="1"/>
  <c r="D39" i="3" l="1"/>
  <c r="I39" i="3"/>
  <c r="H39" i="3" l="1"/>
  <c r="G39" i="3"/>
  <c r="C40" i="3" s="1"/>
  <c r="E40" i="3" l="1"/>
  <c r="D40" i="3" l="1"/>
  <c r="I40" i="3"/>
  <c r="H40" i="3" l="1"/>
  <c r="G40" i="3"/>
  <c r="C41" i="3" s="1"/>
  <c r="E41" i="3" l="1"/>
  <c r="D41" i="3" l="1"/>
  <c r="I41" i="3"/>
  <c r="H41" i="3" l="1"/>
  <c r="G41" i="3"/>
  <c r="C42" i="3" s="1"/>
  <c r="E42" i="3" l="1"/>
  <c r="D42" i="3" l="1"/>
  <c r="I42" i="3"/>
  <c r="H42" i="3" l="1"/>
  <c r="G42" i="3"/>
  <c r="C43" i="3" s="1"/>
  <c r="E43" i="3" l="1"/>
  <c r="D43" i="3" l="1"/>
  <c r="I43" i="3"/>
  <c r="H43" i="3" l="1"/>
  <c r="G43" i="3"/>
  <c r="C44" i="3" s="1"/>
  <c r="E44" i="3" l="1"/>
  <c r="D44" i="3" l="1"/>
  <c r="I44" i="3"/>
  <c r="G44" i="3" l="1"/>
  <c r="C45" i="3" s="1"/>
  <c r="H44" i="3"/>
  <c r="E45" i="3" l="1"/>
  <c r="D45" i="3" l="1"/>
  <c r="I45" i="3"/>
  <c r="H45" i="3" l="1"/>
  <c r="G45" i="3"/>
  <c r="C46" i="3" s="1"/>
  <c r="E46" i="3" l="1"/>
  <c r="D46" i="3" l="1"/>
  <c r="I46" i="3"/>
  <c r="H46" i="3" l="1"/>
  <c r="G46" i="3"/>
  <c r="C47" i="3" s="1"/>
  <c r="E47" i="3" l="1"/>
  <c r="D47" i="3" l="1"/>
  <c r="I47" i="3"/>
  <c r="H47" i="3" l="1"/>
  <c r="G47" i="3"/>
  <c r="C48" i="3" s="1"/>
  <c r="E48" i="3" l="1"/>
  <c r="D48" i="3" l="1"/>
  <c r="I48" i="3"/>
  <c r="G48" i="3" l="1"/>
  <c r="C49" i="3" s="1"/>
  <c r="H48" i="3"/>
  <c r="E49" i="3" l="1"/>
  <c r="D49" i="3" l="1"/>
  <c r="I49" i="3"/>
  <c r="H49" i="3" l="1"/>
  <c r="G49" i="3"/>
  <c r="C50" i="3" s="1"/>
  <c r="E50" i="3" l="1"/>
  <c r="D50" i="3" l="1"/>
  <c r="I50" i="3"/>
  <c r="G50" i="3" l="1"/>
  <c r="C51" i="3" s="1"/>
  <c r="H50" i="3"/>
  <c r="E51" i="3" l="1"/>
  <c r="D51" i="3" l="1"/>
  <c r="I51" i="3"/>
  <c r="H51" i="3" l="1"/>
  <c r="G51" i="3"/>
  <c r="C52" i="3" s="1"/>
  <c r="E52" i="3" l="1"/>
  <c r="D52" i="3" l="1"/>
  <c r="I52" i="3"/>
  <c r="H52" i="3" l="1"/>
  <c r="G52" i="3"/>
  <c r="C53" i="3" s="1"/>
  <c r="E53" i="3" l="1"/>
  <c r="D53" i="3" l="1"/>
  <c r="I53" i="3"/>
  <c r="H53" i="3" l="1"/>
  <c r="G53" i="3"/>
  <c r="C54" i="3" s="1"/>
  <c r="E54" i="3" l="1"/>
  <c r="D54" i="3" l="1"/>
  <c r="I54" i="3"/>
  <c r="G54" i="3" l="1"/>
  <c r="C55" i="3" s="1"/>
  <c r="H54" i="3"/>
  <c r="E55" i="3" l="1"/>
  <c r="D55" i="3" l="1"/>
  <c r="I55" i="3"/>
  <c r="H55" i="3" l="1"/>
  <c r="G55" i="3"/>
  <c r="C56" i="3" s="1"/>
  <c r="E56" i="3" l="1"/>
  <c r="D56" i="3" l="1"/>
  <c r="I56" i="3"/>
  <c r="H56" i="3" l="1"/>
  <c r="G56" i="3"/>
  <c r="C57" i="3" s="1"/>
  <c r="E57" i="3" l="1"/>
  <c r="D57" i="3" l="1"/>
  <c r="I57" i="3"/>
  <c r="H57" i="3" l="1"/>
  <c r="G57" i="3"/>
  <c r="C58" i="3" s="1"/>
  <c r="E58" i="3" l="1"/>
  <c r="D58" i="3" l="1"/>
  <c r="I58" i="3"/>
  <c r="H58" i="3" l="1"/>
  <c r="G58" i="3"/>
  <c r="C59" i="3" s="1"/>
  <c r="E59" i="3" l="1"/>
  <c r="D59" i="3" l="1"/>
  <c r="I59" i="3"/>
  <c r="G59" i="3" l="1"/>
  <c r="C60" i="3" s="1"/>
  <c r="H59" i="3"/>
  <c r="E60" i="3" l="1"/>
  <c r="D60" i="3" l="1"/>
  <c r="I60" i="3"/>
  <c r="H60" i="3" l="1"/>
  <c r="G60" i="3"/>
  <c r="C61" i="3" s="1"/>
  <c r="E61" i="3" l="1"/>
  <c r="D61" i="3" l="1"/>
  <c r="I61" i="3"/>
  <c r="G61" i="3" l="1"/>
  <c r="C62" i="3" s="1"/>
  <c r="H61" i="3"/>
  <c r="E62" i="3" l="1"/>
  <c r="D62" i="3" l="1"/>
  <c r="I62" i="3"/>
  <c r="H62" i="3" l="1"/>
  <c r="G62" i="3"/>
  <c r="C63" i="3" s="1"/>
  <c r="E63" i="3" l="1"/>
  <c r="D63" i="3" l="1"/>
  <c r="I63" i="3"/>
  <c r="H63" i="3" l="1"/>
  <c r="G63" i="3"/>
  <c r="C64" i="3" s="1"/>
  <c r="E64" i="3" l="1"/>
  <c r="D64" i="3" l="1"/>
  <c r="I64" i="3"/>
  <c r="H64" i="3" l="1"/>
  <c r="G64" i="3"/>
  <c r="C65" i="3" s="1"/>
  <c r="E65" i="3" l="1"/>
  <c r="D65" i="3" l="1"/>
  <c r="I65" i="3"/>
  <c r="H65" i="3" l="1"/>
  <c r="G65" i="3"/>
  <c r="C66" i="3" s="1"/>
  <c r="E66" i="3" l="1"/>
  <c r="D66" i="3" l="1"/>
  <c r="I66" i="3"/>
  <c r="H66" i="3" l="1"/>
  <c r="G66" i="3"/>
  <c r="C67" i="3" s="1"/>
  <c r="E67" i="3" l="1"/>
  <c r="D67" i="3" l="1"/>
  <c r="I67" i="3"/>
  <c r="H67" i="3" l="1"/>
  <c r="G67" i="3"/>
  <c r="C68" i="3" s="1"/>
  <c r="E68" i="3" l="1"/>
  <c r="D68" i="3" l="1"/>
  <c r="I68" i="3"/>
  <c r="H68" i="3" l="1"/>
  <c r="G68" i="3"/>
  <c r="C69" i="3" s="1"/>
  <c r="E69" i="3" l="1"/>
  <c r="D69" i="3" l="1"/>
  <c r="I69" i="3"/>
  <c r="G69" i="3" l="1"/>
  <c r="C70" i="3" s="1"/>
  <c r="H69" i="3"/>
  <c r="E70" i="3" l="1"/>
  <c r="D70" i="3" l="1"/>
  <c r="I70" i="3"/>
  <c r="H70" i="3" l="1"/>
  <c r="G70" i="3"/>
  <c r="C71" i="3" s="1"/>
  <c r="E71" i="3" l="1"/>
  <c r="D71" i="3" l="1"/>
  <c r="I71" i="3"/>
  <c r="G71" i="3" l="1"/>
  <c r="C72" i="3" s="1"/>
  <c r="H71" i="3"/>
  <c r="E72" i="3" l="1"/>
  <c r="D72" i="3" l="1"/>
  <c r="I72" i="3"/>
  <c r="H72" i="3" l="1"/>
  <c r="G72" i="3"/>
  <c r="C73" i="3" s="1"/>
  <c r="E73" i="3" l="1"/>
  <c r="D73" i="3" l="1"/>
  <c r="I73" i="3"/>
  <c r="H73" i="3" l="1"/>
  <c r="G73" i="3"/>
  <c r="C74" i="3" s="1"/>
  <c r="E74" i="3" l="1"/>
  <c r="D74" i="3" l="1"/>
  <c r="I74" i="3"/>
  <c r="G74" i="3" l="1"/>
  <c r="C75" i="3" s="1"/>
  <c r="H74" i="3"/>
  <c r="E75" i="3" l="1"/>
  <c r="D75" i="3" l="1"/>
  <c r="I75" i="3"/>
  <c r="H75" i="3" l="1"/>
  <c r="G75" i="3"/>
  <c r="C76" i="3" s="1"/>
  <c r="E76" i="3" l="1"/>
  <c r="D76" i="3" l="1"/>
  <c r="I76" i="3"/>
  <c r="H76" i="3" l="1"/>
  <c r="G76" i="3"/>
  <c r="C77" i="3" s="1"/>
  <c r="E77" i="3" l="1"/>
  <c r="D77" i="3" l="1"/>
  <c r="I77" i="3"/>
  <c r="H77" i="3" l="1"/>
  <c r="G77" i="3"/>
  <c r="C78" i="3" s="1"/>
  <c r="E78" i="3" l="1"/>
  <c r="D78" i="3" l="1"/>
  <c r="I78" i="3"/>
  <c r="G78" i="3" l="1"/>
  <c r="C79" i="3" s="1"/>
  <c r="H78" i="3"/>
  <c r="E79" i="3" l="1"/>
  <c r="D79" i="3" l="1"/>
  <c r="I79" i="3"/>
  <c r="H79" i="3" l="1"/>
  <c r="G79" i="3"/>
  <c r="C80" i="3" s="1"/>
  <c r="E80" i="3" l="1"/>
  <c r="D80" i="3" l="1"/>
  <c r="I80" i="3"/>
  <c r="H80" i="3" l="1"/>
  <c r="G80" i="3"/>
  <c r="C81" i="3" s="1"/>
  <c r="E81" i="3" l="1"/>
  <c r="D81" i="3" l="1"/>
  <c r="I81" i="3"/>
  <c r="H81" i="3" l="1"/>
  <c r="G81" i="3"/>
  <c r="C82" i="3" s="1"/>
  <c r="E82" i="3" l="1"/>
  <c r="D82" i="3" l="1"/>
  <c r="I82" i="3"/>
  <c r="H82" i="3" l="1"/>
  <c r="G82" i="3"/>
  <c r="C83" i="3" s="1"/>
  <c r="E83" i="3" l="1"/>
  <c r="D83" i="3" l="1"/>
  <c r="I83" i="3"/>
  <c r="G83" i="3" l="1"/>
  <c r="C84" i="3" s="1"/>
  <c r="H83" i="3"/>
  <c r="E84" i="3" l="1"/>
  <c r="D84" i="3" l="1"/>
  <c r="I84" i="3"/>
  <c r="H84" i="3" l="1"/>
  <c r="G84" i="3"/>
  <c r="C85" i="3" s="1"/>
  <c r="E85" i="3" l="1"/>
  <c r="D85" i="3" l="1"/>
  <c r="I85" i="3"/>
  <c r="H85" i="3" l="1"/>
  <c r="G85" i="3"/>
  <c r="C86" i="3" s="1"/>
  <c r="E86" i="3" l="1"/>
  <c r="D86" i="3" l="1"/>
  <c r="I86" i="3"/>
  <c r="G86" i="3" l="1"/>
  <c r="C87" i="3" s="1"/>
  <c r="H86" i="3"/>
  <c r="E87" i="3" l="1"/>
  <c r="D87" i="3" l="1"/>
  <c r="I87" i="3"/>
  <c r="H87" i="3" l="1"/>
  <c r="G87" i="3"/>
  <c r="C88" i="3" s="1"/>
  <c r="E88" i="3" l="1"/>
  <c r="D88" i="3" l="1"/>
  <c r="I88" i="3"/>
  <c r="G88" i="3" l="1"/>
  <c r="C89" i="3" s="1"/>
  <c r="H88" i="3"/>
  <c r="E89" i="3" l="1"/>
  <c r="D89" i="3" l="1"/>
  <c r="I89" i="3"/>
  <c r="H89" i="3" l="1"/>
  <c r="G89" i="3"/>
  <c r="C90" i="3" s="1"/>
  <c r="E90" i="3" l="1"/>
  <c r="D90" i="3" l="1"/>
  <c r="I90" i="3"/>
  <c r="G90" i="3" l="1"/>
  <c r="C91" i="3" s="1"/>
  <c r="H90" i="3"/>
  <c r="E91" i="3" l="1"/>
  <c r="D91" i="3" l="1"/>
  <c r="I91" i="3"/>
  <c r="H91" i="3" l="1"/>
  <c r="G91" i="3"/>
  <c r="C92" i="3" s="1"/>
  <c r="E92" i="3" l="1"/>
  <c r="D92" i="3" l="1"/>
  <c r="I92" i="3"/>
  <c r="G92" i="3" l="1"/>
  <c r="C93" i="3" s="1"/>
  <c r="H92" i="3"/>
  <c r="E93" i="3" l="1"/>
  <c r="D93" i="3" l="1"/>
  <c r="I93" i="3"/>
  <c r="G93" i="3" l="1"/>
  <c r="C94" i="3" s="1"/>
  <c r="H93" i="3"/>
  <c r="E94" i="3" l="1"/>
  <c r="D94" i="3" l="1"/>
  <c r="I94" i="3"/>
  <c r="H94" i="3" l="1"/>
  <c r="G94" i="3"/>
  <c r="C95" i="3" s="1"/>
  <c r="E95" i="3" l="1"/>
  <c r="D95" i="3" l="1"/>
  <c r="I95" i="3"/>
  <c r="H95" i="3" l="1"/>
  <c r="G95" i="3"/>
  <c r="C96" i="3" s="1"/>
  <c r="E96" i="3" l="1"/>
  <c r="D96" i="3" l="1"/>
  <c r="I96" i="3"/>
  <c r="H96" i="3" l="1"/>
  <c r="G96" i="3"/>
  <c r="C97" i="3" s="1"/>
  <c r="E97" i="3" l="1"/>
  <c r="D97" i="3" l="1"/>
  <c r="I97" i="3"/>
  <c r="H97" i="3" l="1"/>
  <c r="G97" i="3"/>
  <c r="C98" i="3" s="1"/>
  <c r="E98" i="3" l="1"/>
  <c r="D98" i="3" l="1"/>
  <c r="I98" i="3"/>
  <c r="H98" i="3" l="1"/>
  <c r="G98" i="3"/>
  <c r="C99" i="3" s="1"/>
  <c r="E99" i="3" l="1"/>
  <c r="D99" i="3" l="1"/>
  <c r="I99" i="3"/>
  <c r="H99" i="3" l="1"/>
  <c r="G99" i="3"/>
  <c r="C100" i="3" s="1"/>
  <c r="E100" i="3" l="1"/>
  <c r="D100" i="3" l="1"/>
  <c r="I100" i="3"/>
  <c r="H100" i="3" l="1"/>
  <c r="G100" i="3"/>
  <c r="C101" i="3" s="1"/>
  <c r="E101" i="3" l="1"/>
  <c r="D101" i="3" l="1"/>
  <c r="I101" i="3"/>
  <c r="H101" i="3" l="1"/>
  <c r="G101" i="3"/>
  <c r="C102" i="3" s="1"/>
  <c r="E102" i="3" l="1"/>
  <c r="D102" i="3" l="1"/>
  <c r="I102" i="3"/>
  <c r="G102" i="3" l="1"/>
  <c r="C103" i="3" s="1"/>
  <c r="H102" i="3"/>
  <c r="E103" i="3" l="1"/>
  <c r="D103" i="3" l="1"/>
  <c r="I103" i="3"/>
  <c r="G103" i="3" l="1"/>
  <c r="C104" i="3" s="1"/>
  <c r="H103" i="3"/>
  <c r="E104" i="3" l="1"/>
  <c r="D104" i="3" l="1"/>
  <c r="I104" i="3"/>
  <c r="H104" i="3" l="1"/>
  <c r="G104" i="3"/>
  <c r="C105" i="3" s="1"/>
  <c r="E105" i="3" l="1"/>
  <c r="D105" i="3" l="1"/>
  <c r="I105" i="3"/>
  <c r="G105" i="3" l="1"/>
  <c r="C106" i="3" s="1"/>
  <c r="H105" i="3"/>
  <c r="E106" i="3" l="1"/>
  <c r="D106" i="3" l="1"/>
  <c r="I106" i="3"/>
  <c r="H106" i="3" l="1"/>
  <c r="G106" i="3"/>
  <c r="C107" i="3" s="1"/>
  <c r="E107" i="3" l="1"/>
  <c r="D107" i="3" l="1"/>
  <c r="I107" i="3"/>
  <c r="H107" i="3" l="1"/>
  <c r="G107" i="3"/>
  <c r="C108" i="3" s="1"/>
  <c r="E108" i="3" l="1"/>
  <c r="D108" i="3" l="1"/>
  <c r="I108" i="3"/>
  <c r="G108" i="3" l="1"/>
  <c r="C109" i="3" s="1"/>
  <c r="H108" i="3"/>
  <c r="E109" i="3" l="1"/>
  <c r="D109" i="3" l="1"/>
  <c r="I109" i="3"/>
  <c r="G109" i="3" l="1"/>
  <c r="C110" i="3" s="1"/>
  <c r="H109" i="3"/>
  <c r="E110" i="3" l="1"/>
  <c r="D110" i="3" l="1"/>
  <c r="I110" i="3"/>
  <c r="H110" i="3" l="1"/>
  <c r="G110" i="3"/>
  <c r="C111" i="3" s="1"/>
  <c r="E111" i="3" l="1"/>
  <c r="D111" i="3" l="1"/>
  <c r="I111" i="3"/>
  <c r="H111" i="3" l="1"/>
  <c r="G111" i="3"/>
  <c r="C112" i="3" s="1"/>
  <c r="E112" i="3" l="1"/>
  <c r="D112" i="3" l="1"/>
  <c r="I112" i="3"/>
  <c r="H112" i="3" l="1"/>
  <c r="G112" i="3"/>
  <c r="C113" i="3" s="1"/>
  <c r="E113" i="3" l="1"/>
  <c r="D113" i="3" l="1"/>
  <c r="I113" i="3"/>
  <c r="H113" i="3" l="1"/>
  <c r="G113" i="3"/>
  <c r="C114" i="3" s="1"/>
  <c r="E114" i="3" l="1"/>
  <c r="D114" i="3" l="1"/>
  <c r="I114" i="3"/>
  <c r="H114" i="3" l="1"/>
  <c r="G114" i="3"/>
  <c r="C115" i="3" s="1"/>
  <c r="E115" i="3" l="1"/>
  <c r="D115" i="3" l="1"/>
  <c r="I115" i="3"/>
  <c r="G115" i="3" l="1"/>
  <c r="C116" i="3" s="1"/>
  <c r="H115" i="3"/>
  <c r="E116" i="3" l="1"/>
  <c r="D116" i="3" l="1"/>
  <c r="I116" i="3"/>
  <c r="G116" i="3" l="1"/>
  <c r="C117" i="3" s="1"/>
  <c r="H116" i="3"/>
  <c r="E117" i="3" l="1"/>
  <c r="D117" i="3" l="1"/>
  <c r="I117" i="3"/>
  <c r="H117" i="3" l="1"/>
  <c r="G117" i="3"/>
  <c r="C118" i="3" s="1"/>
  <c r="E118" i="3" l="1"/>
  <c r="D118" i="3" l="1"/>
  <c r="I118" i="3"/>
  <c r="G118" i="3" l="1"/>
  <c r="C119" i="3" s="1"/>
  <c r="H118" i="3"/>
  <c r="E119" i="3" l="1"/>
  <c r="D119" i="3" l="1"/>
  <c r="I119" i="3"/>
  <c r="H119" i="3" l="1"/>
  <c r="G119" i="3"/>
  <c r="C120" i="3" s="1"/>
  <c r="E120" i="3" l="1"/>
  <c r="D120" i="3" l="1"/>
  <c r="I120" i="3"/>
  <c r="G120" i="3" l="1"/>
  <c r="C121" i="3" s="1"/>
  <c r="H120" i="3"/>
  <c r="E121" i="3" l="1"/>
  <c r="D121" i="3" l="1"/>
  <c r="I121" i="3"/>
  <c r="H121" i="3" l="1"/>
  <c r="G121" i="3"/>
  <c r="C122" i="3" s="1"/>
  <c r="E122" i="3" l="1"/>
  <c r="D122" i="3" l="1"/>
  <c r="I122" i="3"/>
  <c r="H122" i="3" l="1"/>
  <c r="G122" i="3"/>
  <c r="C123" i="3" s="1"/>
  <c r="E123" i="3" l="1"/>
  <c r="D123" i="3" l="1"/>
  <c r="I123" i="3"/>
  <c r="G123" i="3" l="1"/>
  <c r="C124" i="3" s="1"/>
  <c r="H123" i="3"/>
  <c r="E124" i="3" l="1"/>
  <c r="D124" i="3" l="1"/>
  <c r="I124" i="3"/>
  <c r="G124" i="3" l="1"/>
  <c r="C125" i="3" s="1"/>
  <c r="H124" i="3"/>
  <c r="E125" i="3" l="1"/>
  <c r="D125" i="3" l="1"/>
  <c r="I125" i="3"/>
  <c r="G125" i="3" l="1"/>
  <c r="C126" i="3" s="1"/>
  <c r="H125" i="3"/>
  <c r="E126" i="3" l="1"/>
  <c r="D126" i="3" l="1"/>
  <c r="I126" i="3"/>
  <c r="H126" i="3" l="1"/>
  <c r="G126" i="3"/>
  <c r="C127" i="3" s="1"/>
  <c r="E127" i="3" l="1"/>
  <c r="D127" i="3" l="1"/>
  <c r="I127" i="3"/>
  <c r="H127" i="3" l="1"/>
  <c r="G127" i="3"/>
  <c r="C128" i="3" s="1"/>
  <c r="E128" i="3" l="1"/>
  <c r="D128" i="3" l="1"/>
  <c r="I128" i="3"/>
  <c r="H128" i="3" l="1"/>
  <c r="G128" i="3"/>
  <c r="C129" i="3" s="1"/>
  <c r="E129" i="3" l="1"/>
  <c r="D129" i="3" l="1"/>
  <c r="I129" i="3"/>
  <c r="G129" i="3" l="1"/>
  <c r="C130" i="3" s="1"/>
  <c r="H129" i="3"/>
  <c r="E130" i="3" l="1"/>
  <c r="D130" i="3" l="1"/>
  <c r="I130" i="3"/>
  <c r="G130" i="3" l="1"/>
  <c r="C131" i="3" s="1"/>
  <c r="H130" i="3"/>
  <c r="E131" i="3" l="1"/>
  <c r="D131" i="3" l="1"/>
  <c r="I131" i="3"/>
  <c r="H131" i="3" l="1"/>
  <c r="G131" i="3"/>
  <c r="C132" i="3" s="1"/>
  <c r="E132" i="3" l="1"/>
  <c r="D132" i="3" l="1"/>
  <c r="I132" i="3"/>
  <c r="G132" i="3" l="1"/>
  <c r="C133" i="3" s="1"/>
  <c r="H132" i="3"/>
  <c r="E133" i="3" l="1"/>
  <c r="D133" i="3" l="1"/>
  <c r="I133" i="3"/>
  <c r="H133" i="3" l="1"/>
  <c r="G133" i="3"/>
  <c r="C134" i="3" s="1"/>
  <c r="E134" i="3" l="1"/>
  <c r="D134" i="3" l="1"/>
  <c r="I134" i="3"/>
  <c r="G134" i="3" l="1"/>
  <c r="C135" i="3" s="1"/>
  <c r="H134" i="3"/>
  <c r="E135" i="3" l="1"/>
  <c r="D135" i="3" l="1"/>
  <c r="I135" i="3"/>
  <c r="G135" i="3" l="1"/>
  <c r="C136" i="3" s="1"/>
  <c r="H135" i="3"/>
  <c r="E136" i="3" l="1"/>
  <c r="D136" i="3" l="1"/>
  <c r="I136" i="3"/>
  <c r="H136" i="3" l="1"/>
  <c r="G136" i="3"/>
  <c r="C137" i="3" s="1"/>
  <c r="E137" i="3" l="1"/>
  <c r="D137" i="3" l="1"/>
  <c r="I137" i="3"/>
  <c r="G137" i="3" l="1"/>
  <c r="C138" i="3" s="1"/>
  <c r="H137" i="3"/>
  <c r="E138" i="3" l="1"/>
  <c r="D138" i="3" l="1"/>
  <c r="I138" i="3"/>
  <c r="G138" i="3" l="1"/>
  <c r="C139" i="3" s="1"/>
  <c r="H138" i="3"/>
  <c r="E139" i="3" l="1"/>
  <c r="D139" i="3" l="1"/>
  <c r="I139" i="3"/>
  <c r="G139" i="3" l="1"/>
  <c r="C140" i="3" s="1"/>
  <c r="H139" i="3"/>
  <c r="E140" i="3" l="1"/>
  <c r="D140" i="3" l="1"/>
  <c r="I140" i="3"/>
  <c r="G140" i="3" l="1"/>
  <c r="C141" i="3" s="1"/>
  <c r="H140" i="3"/>
  <c r="E141" i="3" l="1"/>
  <c r="D141" i="3" l="1"/>
  <c r="I141" i="3"/>
  <c r="H141" i="3" l="1"/>
  <c r="G141" i="3"/>
  <c r="C142" i="3" s="1"/>
  <c r="E142" i="3" l="1"/>
  <c r="D142" i="3" l="1"/>
  <c r="I142" i="3"/>
  <c r="G142" i="3" l="1"/>
  <c r="C143" i="3" s="1"/>
  <c r="H142" i="3"/>
  <c r="E143" i="3" l="1"/>
  <c r="D143" i="3" l="1"/>
  <c r="I143" i="3"/>
  <c r="H143" i="3" l="1"/>
  <c r="G143" i="3"/>
  <c r="C144" i="3" s="1"/>
  <c r="E144" i="3" l="1"/>
  <c r="D144" i="3" l="1"/>
  <c r="I144" i="3"/>
  <c r="G144" i="3" l="1"/>
  <c r="C145" i="3" s="1"/>
  <c r="H144" i="3"/>
  <c r="E145" i="3" l="1"/>
  <c r="D145" i="3" l="1"/>
  <c r="I145" i="3"/>
  <c r="H145" i="3" l="1"/>
  <c r="G145" i="3"/>
  <c r="C146" i="3" s="1"/>
  <c r="E146" i="3" l="1"/>
  <c r="D146" i="3" l="1"/>
  <c r="I146" i="3"/>
  <c r="H146" i="3" l="1"/>
  <c r="G146" i="3"/>
  <c r="C147" i="3" s="1"/>
  <c r="E147" i="3" l="1"/>
  <c r="D147" i="3" l="1"/>
  <c r="I147" i="3"/>
  <c r="G147" i="3" l="1"/>
  <c r="C148" i="3" s="1"/>
  <c r="H147" i="3"/>
  <c r="E148" i="3" l="1"/>
  <c r="D148" i="3" l="1"/>
  <c r="I148" i="3"/>
  <c r="H148" i="3" l="1"/>
  <c r="G148" i="3"/>
  <c r="C149" i="3" s="1"/>
  <c r="E149" i="3" l="1"/>
  <c r="D149" i="3" l="1"/>
  <c r="I149" i="3"/>
  <c r="G149" i="3" l="1"/>
  <c r="C150" i="3" s="1"/>
  <c r="H149" i="3"/>
  <c r="E150" i="3" l="1"/>
  <c r="D150" i="3" l="1"/>
  <c r="I150" i="3"/>
  <c r="H150" i="3" l="1"/>
  <c r="G150" i="3"/>
  <c r="C151" i="3" s="1"/>
  <c r="E151" i="3" l="1"/>
  <c r="D151" i="3" l="1"/>
  <c r="I151" i="3"/>
  <c r="H151" i="3" l="1"/>
  <c r="G151" i="3"/>
  <c r="C152" i="3" s="1"/>
  <c r="E152" i="3" l="1"/>
  <c r="D152" i="3" l="1"/>
  <c r="I152" i="3"/>
  <c r="G152" i="3" l="1"/>
  <c r="C153" i="3" s="1"/>
  <c r="H152" i="3"/>
  <c r="E153" i="3" l="1"/>
  <c r="D153" i="3" l="1"/>
  <c r="I153" i="3"/>
  <c r="H153" i="3" l="1"/>
  <c r="G153" i="3"/>
  <c r="C154" i="3" s="1"/>
  <c r="E154" i="3" l="1"/>
  <c r="D154" i="3" l="1"/>
  <c r="I154" i="3"/>
  <c r="H154" i="3" l="1"/>
  <c r="G154" i="3"/>
  <c r="C155" i="3" s="1"/>
  <c r="E155" i="3" l="1"/>
  <c r="D155" i="3" l="1"/>
  <c r="I155" i="3"/>
  <c r="G155" i="3" l="1"/>
  <c r="C156" i="3" s="1"/>
  <c r="H155" i="3"/>
  <c r="E156" i="3" l="1"/>
  <c r="D156" i="3" l="1"/>
  <c r="I156" i="3"/>
  <c r="H156" i="3" l="1"/>
  <c r="G156" i="3"/>
  <c r="C157" i="3" s="1"/>
  <c r="E157" i="3" l="1"/>
  <c r="D157" i="3" l="1"/>
  <c r="I157" i="3"/>
  <c r="H157" i="3" l="1"/>
  <c r="G157" i="3"/>
  <c r="C158" i="3" s="1"/>
  <c r="E158" i="3" l="1"/>
  <c r="D158" i="3" l="1"/>
  <c r="I158" i="3"/>
  <c r="H158" i="3" l="1"/>
  <c r="G158" i="3"/>
  <c r="C159" i="3" s="1"/>
  <c r="E159" i="3" l="1"/>
  <c r="D159" i="3" l="1"/>
  <c r="I159" i="3"/>
  <c r="H159" i="3" l="1"/>
  <c r="G159" i="3"/>
  <c r="C160" i="3" s="1"/>
  <c r="E160" i="3" l="1"/>
  <c r="D160" i="3" l="1"/>
  <c r="I160" i="3"/>
  <c r="H160" i="3" l="1"/>
  <c r="G160" i="3"/>
  <c r="C161" i="3" s="1"/>
  <c r="E161" i="3" l="1"/>
  <c r="D161" i="3" l="1"/>
  <c r="I161" i="3"/>
  <c r="G161" i="3" l="1"/>
  <c r="C162" i="3" s="1"/>
  <c r="H161" i="3"/>
  <c r="E162" i="3" l="1"/>
  <c r="D162" i="3" l="1"/>
  <c r="I162" i="3"/>
  <c r="H162" i="3" l="1"/>
  <c r="G162" i="3"/>
  <c r="C163" i="3" s="1"/>
  <c r="E163" i="3" l="1"/>
  <c r="D163" i="3" l="1"/>
  <c r="I163" i="3"/>
  <c r="G163" i="3" l="1"/>
  <c r="C164" i="3" s="1"/>
  <c r="H163" i="3"/>
  <c r="E164" i="3" l="1"/>
  <c r="D164" i="3" l="1"/>
  <c r="I164" i="3"/>
  <c r="G164" i="3" l="1"/>
  <c r="C165" i="3" s="1"/>
  <c r="H164" i="3"/>
  <c r="E165" i="3" l="1"/>
  <c r="D165" i="3" l="1"/>
  <c r="I165" i="3"/>
  <c r="H165" i="3" l="1"/>
  <c r="G165" i="3"/>
  <c r="C166" i="3" s="1"/>
  <c r="E166" i="3" l="1"/>
  <c r="D166" i="3" l="1"/>
  <c r="I166" i="3"/>
  <c r="G166" i="3" l="1"/>
  <c r="C167" i="3" s="1"/>
  <c r="H166" i="3"/>
  <c r="E167" i="3" l="1"/>
  <c r="D167" i="3" l="1"/>
  <c r="I167" i="3"/>
  <c r="H167" i="3" l="1"/>
  <c r="G167" i="3"/>
  <c r="C168" i="3" s="1"/>
  <c r="E168" i="3" l="1"/>
  <c r="D168" i="3" l="1"/>
  <c r="I168" i="3"/>
  <c r="H168" i="3" l="1"/>
  <c r="G168" i="3"/>
  <c r="C169" i="3" s="1"/>
  <c r="E169" i="3" l="1"/>
  <c r="D169" i="3" l="1"/>
  <c r="I169" i="3"/>
  <c r="H169" i="3" l="1"/>
  <c r="G169" i="3"/>
  <c r="C170" i="3" s="1"/>
  <c r="E170" i="3" l="1"/>
  <c r="D170" i="3" l="1"/>
  <c r="I170" i="3"/>
  <c r="G170" i="3" l="1"/>
  <c r="C171" i="3" s="1"/>
  <c r="H170" i="3"/>
  <c r="E171" i="3" l="1"/>
  <c r="D171" i="3" l="1"/>
  <c r="I171" i="3"/>
  <c r="G171" i="3" l="1"/>
  <c r="C172" i="3" s="1"/>
  <c r="H171" i="3"/>
  <c r="E172" i="3" l="1"/>
  <c r="D172" i="3" l="1"/>
  <c r="I172" i="3"/>
  <c r="H172" i="3" l="1"/>
  <c r="G172" i="3"/>
  <c r="C173" i="3" s="1"/>
  <c r="E173" i="3" l="1"/>
  <c r="D173" i="3" l="1"/>
  <c r="I173" i="3"/>
  <c r="H173" i="3" l="1"/>
  <c r="G173" i="3"/>
  <c r="C174" i="3" s="1"/>
  <c r="E174" i="3" l="1"/>
  <c r="D174" i="3" l="1"/>
  <c r="I174" i="3"/>
  <c r="H174" i="3" l="1"/>
  <c r="G174" i="3"/>
  <c r="C175" i="3" s="1"/>
  <c r="E175" i="3" l="1"/>
  <c r="D175" i="3" l="1"/>
  <c r="I175" i="3"/>
  <c r="H175" i="3" l="1"/>
  <c r="G175" i="3"/>
  <c r="C176" i="3" s="1"/>
  <c r="E176" i="3" l="1"/>
  <c r="D176" i="3" l="1"/>
  <c r="I176" i="3"/>
  <c r="G176" i="3" l="1"/>
  <c r="C177" i="3" s="1"/>
  <c r="H176" i="3"/>
  <c r="E177" i="3" l="1"/>
  <c r="D177" i="3" l="1"/>
  <c r="I177" i="3"/>
  <c r="G177" i="3" l="1"/>
  <c r="C178" i="3" s="1"/>
  <c r="H177" i="3"/>
  <c r="E178" i="3" l="1"/>
  <c r="D178" i="3" l="1"/>
  <c r="I178" i="3"/>
  <c r="H178" i="3" l="1"/>
  <c r="G178" i="3"/>
  <c r="C179" i="3" s="1"/>
  <c r="E179" i="3" l="1"/>
  <c r="D179" i="3" l="1"/>
  <c r="I179" i="3"/>
  <c r="H179" i="3" l="1"/>
  <c r="G179" i="3"/>
  <c r="C180" i="3" s="1"/>
  <c r="E180" i="3" l="1"/>
  <c r="D180" i="3" l="1"/>
  <c r="I180" i="3"/>
  <c r="H180" i="3" l="1"/>
  <c r="G180" i="3"/>
  <c r="C181" i="3" s="1"/>
  <c r="E181" i="3" l="1"/>
  <c r="D181" i="3" l="1"/>
  <c r="I181" i="3"/>
  <c r="H181" i="3" l="1"/>
  <c r="G181" i="3"/>
  <c r="C182" i="3" s="1"/>
  <c r="E182" i="3" l="1"/>
  <c r="D182" i="3" l="1"/>
  <c r="I182" i="3"/>
  <c r="G182" i="3" l="1"/>
  <c r="C183" i="3" s="1"/>
  <c r="H182" i="3"/>
  <c r="E183" i="3" l="1"/>
  <c r="D183" i="3" l="1"/>
  <c r="I183" i="3"/>
  <c r="H183" i="3" l="1"/>
  <c r="G183" i="3"/>
  <c r="C184" i="3" s="1"/>
  <c r="E184" i="3" l="1"/>
  <c r="D184" i="3" l="1"/>
  <c r="I184" i="3"/>
  <c r="H184" i="3" l="1"/>
  <c r="G184" i="3"/>
  <c r="C185" i="3" s="1"/>
  <c r="E185" i="3" l="1"/>
  <c r="D185" i="3" l="1"/>
  <c r="I185" i="3"/>
  <c r="H185" i="3" l="1"/>
  <c r="G185" i="3"/>
  <c r="C186" i="3" s="1"/>
  <c r="E186" i="3" l="1"/>
  <c r="D186" i="3" l="1"/>
  <c r="I186" i="3"/>
  <c r="H186" i="3" l="1"/>
  <c r="G186" i="3"/>
  <c r="C187" i="3" s="1"/>
  <c r="E187" i="3" l="1"/>
  <c r="D187" i="3" l="1"/>
  <c r="I187" i="3"/>
  <c r="G187" i="3" l="1"/>
  <c r="C188" i="3" s="1"/>
  <c r="H187" i="3"/>
  <c r="E188" i="3" l="1"/>
  <c r="D188" i="3" l="1"/>
  <c r="I188" i="3"/>
  <c r="H188" i="3" l="1"/>
  <c r="G188" i="3"/>
  <c r="C189" i="3" s="1"/>
  <c r="E189" i="3" l="1"/>
  <c r="D189" i="3" l="1"/>
  <c r="I189" i="3"/>
  <c r="G189" i="3" l="1"/>
  <c r="C190" i="3" s="1"/>
  <c r="H189" i="3"/>
  <c r="E190" i="3" l="1"/>
  <c r="D190" i="3" l="1"/>
  <c r="I190" i="3"/>
  <c r="H190" i="3" l="1"/>
  <c r="G190" i="3"/>
  <c r="C191" i="3" s="1"/>
  <c r="E191" i="3" l="1"/>
  <c r="D191" i="3" l="1"/>
  <c r="I191" i="3"/>
  <c r="G191" i="3" l="1"/>
  <c r="C192" i="3" s="1"/>
  <c r="H191" i="3"/>
  <c r="E192" i="3" l="1"/>
  <c r="D192" i="3" l="1"/>
  <c r="I192" i="3"/>
  <c r="H192" i="3" l="1"/>
  <c r="G192" i="3"/>
  <c r="C193" i="3" s="1"/>
  <c r="E193" i="3" l="1"/>
  <c r="D193" i="3" l="1"/>
  <c r="I193" i="3"/>
  <c r="G193" i="3" l="1"/>
  <c r="C194" i="3" s="1"/>
  <c r="H193" i="3"/>
  <c r="E194" i="3" l="1"/>
  <c r="D194" i="3" l="1"/>
  <c r="I194" i="3"/>
  <c r="H194" i="3" l="1"/>
  <c r="G194" i="3"/>
  <c r="C195" i="3" s="1"/>
  <c r="E195" i="3" l="1"/>
  <c r="D195" i="3" l="1"/>
  <c r="I195" i="3"/>
  <c r="H195" i="3" l="1"/>
  <c r="G195" i="3"/>
  <c r="C196" i="3" s="1"/>
  <c r="E196" i="3" l="1"/>
  <c r="D196" i="3" l="1"/>
  <c r="I196" i="3"/>
  <c r="H196" i="3" l="1"/>
  <c r="G196" i="3"/>
  <c r="C197" i="3" s="1"/>
  <c r="E197" i="3" l="1"/>
  <c r="D197" i="3" l="1"/>
  <c r="I197" i="3"/>
  <c r="G197" i="3" l="1"/>
  <c r="C198" i="3" s="1"/>
  <c r="H197" i="3"/>
  <c r="E198" i="3" l="1"/>
  <c r="D198" i="3" l="1"/>
  <c r="I198" i="3"/>
  <c r="G198" i="3" l="1"/>
  <c r="C199" i="3" s="1"/>
  <c r="H198" i="3"/>
  <c r="E199" i="3" l="1"/>
  <c r="D199" i="3" l="1"/>
  <c r="I199" i="3"/>
  <c r="G199" i="3" l="1"/>
  <c r="C200" i="3" s="1"/>
  <c r="H199" i="3"/>
  <c r="E200" i="3" l="1"/>
  <c r="D200" i="3" l="1"/>
  <c r="I200" i="3"/>
  <c r="H200" i="3" l="1"/>
  <c r="G200" i="3"/>
  <c r="C201" i="3" s="1"/>
  <c r="E201" i="3" l="1"/>
  <c r="D201" i="3" l="1"/>
  <c r="I201" i="3"/>
  <c r="H201" i="3" l="1"/>
  <c r="G201" i="3"/>
  <c r="C202" i="3" s="1"/>
  <c r="E202" i="3" l="1"/>
  <c r="D202" i="3" l="1"/>
  <c r="I202" i="3"/>
  <c r="G202" i="3" l="1"/>
  <c r="C203" i="3" s="1"/>
  <c r="H202" i="3"/>
  <c r="E203" i="3" l="1"/>
  <c r="D203" i="3" l="1"/>
  <c r="I203" i="3"/>
  <c r="H203" i="3" l="1"/>
  <c r="G203" i="3"/>
  <c r="C204" i="3" s="1"/>
  <c r="E204" i="3" l="1"/>
  <c r="D204" i="3" l="1"/>
  <c r="I204" i="3"/>
  <c r="G204" i="3" l="1"/>
  <c r="C205" i="3" s="1"/>
  <c r="H204" i="3"/>
  <c r="E205" i="3" l="1"/>
  <c r="D205" i="3" l="1"/>
  <c r="I205" i="3"/>
  <c r="H205" i="3" l="1"/>
  <c r="G205" i="3"/>
  <c r="C206" i="3" s="1"/>
  <c r="E206" i="3" l="1"/>
  <c r="D206" i="3" l="1"/>
  <c r="I206" i="3"/>
  <c r="H206" i="3" l="1"/>
  <c r="G206" i="3"/>
  <c r="C207" i="3" s="1"/>
  <c r="E207" i="3" l="1"/>
  <c r="D207" i="3" l="1"/>
  <c r="I207" i="3"/>
  <c r="H207" i="3" l="1"/>
  <c r="G207" i="3"/>
  <c r="C208" i="3" s="1"/>
  <c r="E208" i="3" l="1"/>
  <c r="D208" i="3" l="1"/>
  <c r="I208" i="3"/>
  <c r="H208" i="3" l="1"/>
  <c r="G208" i="3"/>
  <c r="C209" i="3" s="1"/>
  <c r="E209" i="3" l="1"/>
  <c r="D209" i="3" l="1"/>
  <c r="I209" i="3"/>
  <c r="G209" i="3" l="1"/>
  <c r="C210" i="3" s="1"/>
  <c r="H209" i="3"/>
  <c r="E210" i="3" l="1"/>
  <c r="D210" i="3" l="1"/>
  <c r="I210" i="3"/>
  <c r="H210" i="3" l="1"/>
  <c r="G210" i="3"/>
  <c r="C211" i="3" s="1"/>
  <c r="E211" i="3" l="1"/>
  <c r="D211" i="3" l="1"/>
  <c r="I211" i="3"/>
  <c r="H211" i="3" l="1"/>
  <c r="G211" i="3"/>
  <c r="C212" i="3" s="1"/>
  <c r="E212" i="3" l="1"/>
  <c r="D212" i="3" l="1"/>
  <c r="I212" i="3"/>
  <c r="G212" i="3" l="1"/>
  <c r="C213" i="3" s="1"/>
  <c r="H212" i="3"/>
  <c r="E213" i="3" l="1"/>
  <c r="D213" i="3" l="1"/>
  <c r="I213" i="3"/>
  <c r="G213" i="3" l="1"/>
  <c r="C214" i="3" s="1"/>
  <c r="H213" i="3"/>
  <c r="E214" i="3" l="1"/>
  <c r="D214" i="3" l="1"/>
  <c r="I214" i="3"/>
  <c r="H214" i="3" l="1"/>
  <c r="G214" i="3"/>
  <c r="C215" i="3" s="1"/>
  <c r="E215" i="3" l="1"/>
  <c r="D215" i="3" l="1"/>
  <c r="I215" i="3"/>
  <c r="H215" i="3" l="1"/>
  <c r="G215" i="3"/>
  <c r="C216" i="3" s="1"/>
  <c r="E216" i="3" l="1"/>
  <c r="D216" i="3" l="1"/>
  <c r="I216" i="3"/>
  <c r="G216" i="3" l="1"/>
  <c r="C217" i="3" s="1"/>
  <c r="H216" i="3"/>
  <c r="E217" i="3" l="1"/>
  <c r="D217" i="3" l="1"/>
  <c r="I217" i="3"/>
  <c r="H217" i="3" l="1"/>
  <c r="G217" i="3"/>
  <c r="C218" i="3" s="1"/>
  <c r="E218" i="3" l="1"/>
  <c r="D218" i="3" l="1"/>
  <c r="I218" i="3"/>
  <c r="H218" i="3" l="1"/>
  <c r="G218" i="3"/>
  <c r="C219" i="3" s="1"/>
  <c r="E219" i="3" l="1"/>
  <c r="D219" i="3" l="1"/>
  <c r="I219" i="3"/>
  <c r="H219" i="3" l="1"/>
  <c r="G219" i="3"/>
  <c r="C220" i="3" s="1"/>
  <c r="E220" i="3" l="1"/>
  <c r="D220" i="3" l="1"/>
  <c r="I220" i="3"/>
  <c r="H220" i="3" l="1"/>
  <c r="G220" i="3"/>
  <c r="C221" i="3" s="1"/>
  <c r="E221" i="3" l="1"/>
  <c r="D221" i="3" l="1"/>
  <c r="I221" i="3"/>
  <c r="H221" i="3" l="1"/>
  <c r="G221" i="3"/>
  <c r="C222" i="3" s="1"/>
  <c r="E222" i="3" l="1"/>
  <c r="D222" i="3" l="1"/>
  <c r="I222" i="3"/>
  <c r="G222" i="3" l="1"/>
  <c r="C223" i="3" s="1"/>
  <c r="H222" i="3"/>
  <c r="E223" i="3" l="1"/>
  <c r="D223" i="3" l="1"/>
  <c r="I223" i="3"/>
  <c r="H223" i="3" l="1"/>
  <c r="G223" i="3"/>
  <c r="C224" i="3" s="1"/>
  <c r="E224" i="3" l="1"/>
  <c r="D224" i="3" l="1"/>
  <c r="I224" i="3"/>
  <c r="G224" i="3" l="1"/>
  <c r="C225" i="3" s="1"/>
  <c r="H224" i="3"/>
  <c r="E225" i="3" l="1"/>
  <c r="D225" i="3" l="1"/>
  <c r="I225" i="3"/>
  <c r="H225" i="3" l="1"/>
  <c r="G225" i="3"/>
  <c r="C226" i="3" s="1"/>
  <c r="E226" i="3" l="1"/>
  <c r="D226" i="3" l="1"/>
  <c r="I226" i="3"/>
  <c r="G226" i="3" l="1"/>
  <c r="C227" i="3" s="1"/>
  <c r="H226" i="3"/>
  <c r="E227" i="3" l="1"/>
  <c r="D227" i="3" l="1"/>
  <c r="I227" i="3"/>
  <c r="H227" i="3" l="1"/>
  <c r="G227" i="3"/>
  <c r="C228" i="3" s="1"/>
  <c r="E228" i="3" l="1"/>
  <c r="D228" i="3" l="1"/>
  <c r="I228" i="3"/>
  <c r="H228" i="3" l="1"/>
  <c r="G228" i="3"/>
  <c r="C229" i="3" s="1"/>
  <c r="E229" i="3" l="1"/>
  <c r="D229" i="3" l="1"/>
  <c r="I229" i="3"/>
  <c r="G229" i="3" l="1"/>
  <c r="C230" i="3" s="1"/>
  <c r="H229" i="3"/>
  <c r="E230" i="3" l="1"/>
  <c r="D230" i="3" l="1"/>
  <c r="I230" i="3"/>
  <c r="H230" i="3" l="1"/>
  <c r="G230" i="3"/>
  <c r="C231" i="3" s="1"/>
  <c r="E231" i="3" l="1"/>
  <c r="D231" i="3" l="1"/>
  <c r="I231" i="3"/>
  <c r="H231" i="3" l="1"/>
  <c r="G231" i="3"/>
  <c r="C232" i="3" s="1"/>
  <c r="E232" i="3" l="1"/>
  <c r="D232" i="3" l="1"/>
  <c r="I232" i="3"/>
  <c r="G232" i="3" l="1"/>
  <c r="C233" i="3" s="1"/>
  <c r="H232" i="3"/>
  <c r="E233" i="3" l="1"/>
  <c r="D233" i="3" l="1"/>
  <c r="I233" i="3"/>
  <c r="H233" i="3" l="1"/>
  <c r="G233" i="3"/>
  <c r="C234" i="3" s="1"/>
  <c r="E234" i="3" l="1"/>
  <c r="D234" i="3" l="1"/>
  <c r="I234" i="3"/>
  <c r="G234" i="3" l="1"/>
  <c r="C235" i="3" s="1"/>
  <c r="H234" i="3"/>
  <c r="E235" i="3" l="1"/>
  <c r="D235" i="3" l="1"/>
  <c r="I235" i="3"/>
  <c r="H235" i="3" l="1"/>
  <c r="G235" i="3"/>
  <c r="C236" i="3" s="1"/>
  <c r="E236" i="3" l="1"/>
  <c r="D236" i="3" l="1"/>
  <c r="I236" i="3"/>
  <c r="H236" i="3" l="1"/>
  <c r="G236" i="3"/>
  <c r="C237" i="3" s="1"/>
  <c r="E237" i="3" l="1"/>
  <c r="D237" i="3" l="1"/>
  <c r="I237" i="3"/>
  <c r="H237" i="3" l="1"/>
  <c r="G237" i="3"/>
  <c r="C238" i="3" s="1"/>
  <c r="E238" i="3" l="1"/>
  <c r="D238" i="3" l="1"/>
  <c r="I238" i="3"/>
  <c r="G238" i="3" l="1"/>
  <c r="C239" i="3" s="1"/>
  <c r="H238" i="3"/>
  <c r="E239" i="3" l="1"/>
  <c r="D239" i="3" l="1"/>
  <c r="I239" i="3"/>
  <c r="H239" i="3" l="1"/>
  <c r="G239" i="3"/>
  <c r="C240" i="3" s="1"/>
  <c r="E240" i="3" l="1"/>
  <c r="D240" i="3" l="1"/>
  <c r="I240" i="3"/>
  <c r="G240" i="3" l="1"/>
  <c r="C241" i="3" s="1"/>
  <c r="H240" i="3"/>
  <c r="E241" i="3" l="1"/>
  <c r="D241" i="3" l="1"/>
  <c r="I241" i="3"/>
  <c r="H241" i="3" l="1"/>
  <c r="G241" i="3"/>
  <c r="C242" i="3" s="1"/>
  <c r="E242" i="3" l="1"/>
  <c r="D242" i="3" l="1"/>
  <c r="I242" i="3"/>
  <c r="H242" i="3" l="1"/>
  <c r="G242" i="3"/>
  <c r="C243" i="3" s="1"/>
  <c r="E243" i="3" l="1"/>
  <c r="D243" i="3" l="1"/>
  <c r="I243" i="3"/>
  <c r="G243" i="3" l="1"/>
  <c r="C244" i="3" s="1"/>
  <c r="H243" i="3"/>
  <c r="E244" i="3" l="1"/>
  <c r="D244" i="3" l="1"/>
  <c r="I244" i="3"/>
  <c r="H244" i="3" l="1"/>
  <c r="G244" i="3"/>
  <c r="C245" i="3" s="1"/>
  <c r="E245" i="3" l="1"/>
  <c r="D245" i="3" l="1"/>
  <c r="I245" i="3"/>
  <c r="H245" i="3" l="1"/>
  <c r="G245" i="3"/>
  <c r="C246" i="3" s="1"/>
  <c r="E246" i="3" l="1"/>
  <c r="D246" i="3" l="1"/>
  <c r="I246" i="3"/>
  <c r="G246" i="3" l="1"/>
  <c r="C247" i="3" s="1"/>
  <c r="H246" i="3"/>
  <c r="E247" i="3" l="1"/>
  <c r="D247" i="3" l="1"/>
  <c r="I247" i="3"/>
  <c r="H247" i="3" l="1"/>
  <c r="G247" i="3"/>
  <c r="C248" i="3" s="1"/>
  <c r="E248" i="3" l="1"/>
  <c r="D248" i="3" l="1"/>
  <c r="I248" i="3"/>
  <c r="H248" i="3" l="1"/>
  <c r="G248" i="3"/>
  <c r="C249" i="3" s="1"/>
  <c r="E249" i="3" l="1"/>
  <c r="D249" i="3" l="1"/>
  <c r="I249" i="3"/>
  <c r="H249" i="3" l="1"/>
  <c r="G249" i="3"/>
  <c r="C250" i="3" s="1"/>
  <c r="E250" i="3" l="1"/>
  <c r="D250" i="3" l="1"/>
  <c r="I250" i="3"/>
  <c r="H250" i="3" l="1"/>
  <c r="G250" i="3"/>
  <c r="C251" i="3" s="1"/>
  <c r="E251" i="3" l="1"/>
  <c r="D251" i="3" l="1"/>
  <c r="I251" i="3"/>
  <c r="G251" i="3" l="1"/>
  <c r="C252" i="3" s="1"/>
  <c r="H251" i="3"/>
  <c r="E252" i="3" l="1"/>
  <c r="D252" i="3" l="1"/>
  <c r="I252" i="3"/>
  <c r="G252" i="3" l="1"/>
  <c r="C253" i="3" s="1"/>
  <c r="H252" i="3"/>
  <c r="E253" i="3" l="1"/>
  <c r="D253" i="3" l="1"/>
  <c r="I253" i="3"/>
  <c r="H253" i="3" l="1"/>
  <c r="G253" i="3"/>
  <c r="C254" i="3" s="1"/>
  <c r="E254" i="3" l="1"/>
  <c r="D254" i="3" l="1"/>
  <c r="I254" i="3"/>
  <c r="G254" i="3" l="1"/>
  <c r="C255" i="3" s="1"/>
  <c r="H254" i="3"/>
  <c r="E255" i="3" l="1"/>
  <c r="D255" i="3" l="1"/>
  <c r="I255" i="3"/>
  <c r="H255" i="3" l="1"/>
  <c r="G255" i="3"/>
  <c r="C256" i="3" s="1"/>
  <c r="E256" i="3" l="1"/>
  <c r="D256" i="3" l="1"/>
  <c r="I256" i="3"/>
  <c r="H256" i="3" l="1"/>
  <c r="G256" i="3"/>
  <c r="C257" i="3" s="1"/>
  <c r="E257" i="3" l="1"/>
  <c r="D257" i="3" l="1"/>
  <c r="I257" i="3"/>
  <c r="H257" i="3" l="1"/>
  <c r="G257" i="3"/>
  <c r="C258" i="3" s="1"/>
  <c r="E258" i="3" l="1"/>
  <c r="D258" i="3" l="1"/>
  <c r="I258" i="3"/>
  <c r="H258" i="3" l="1"/>
  <c r="G258" i="3"/>
  <c r="C259" i="3" s="1"/>
  <c r="E259" i="3" l="1"/>
  <c r="D259" i="3" l="1"/>
  <c r="I259" i="3"/>
  <c r="G259" i="3" l="1"/>
  <c r="C260" i="3" s="1"/>
  <c r="H259" i="3"/>
  <c r="E260" i="3" l="1"/>
  <c r="D260" i="3" l="1"/>
  <c r="I260" i="3"/>
  <c r="H260" i="3" l="1"/>
  <c r="G260" i="3"/>
  <c r="C261" i="3" s="1"/>
  <c r="E261" i="3" l="1"/>
  <c r="D261" i="3" l="1"/>
  <c r="I261" i="3"/>
  <c r="H261" i="3" l="1"/>
  <c r="G261" i="3"/>
  <c r="C262" i="3" s="1"/>
  <c r="E262" i="3" l="1"/>
  <c r="D262" i="3" l="1"/>
  <c r="I262" i="3"/>
  <c r="H262" i="3" l="1"/>
  <c r="G262" i="3"/>
  <c r="C263" i="3" s="1"/>
  <c r="E263" i="3" l="1"/>
  <c r="D263" i="3" l="1"/>
  <c r="I263" i="3"/>
  <c r="G263" i="3" l="1"/>
  <c r="C264" i="3" s="1"/>
  <c r="H263" i="3"/>
  <c r="E264" i="3" l="1"/>
  <c r="D264" i="3" l="1"/>
  <c r="I264" i="3"/>
  <c r="G264" i="3" l="1"/>
  <c r="C265" i="3" s="1"/>
  <c r="H264" i="3"/>
  <c r="E265" i="3" l="1"/>
  <c r="D265" i="3" l="1"/>
  <c r="I265" i="3"/>
  <c r="H265" i="3" l="1"/>
  <c r="G265" i="3"/>
  <c r="C266" i="3" s="1"/>
  <c r="E266" i="3" l="1"/>
  <c r="D266" i="3" l="1"/>
  <c r="I266" i="3"/>
  <c r="H266" i="3" l="1"/>
  <c r="G266" i="3"/>
  <c r="C267" i="3" s="1"/>
  <c r="E267" i="3" l="1"/>
  <c r="D267" i="3" l="1"/>
  <c r="I267" i="3"/>
  <c r="G267" i="3" l="1"/>
  <c r="C268" i="3" s="1"/>
  <c r="H267" i="3"/>
  <c r="E268" i="3" l="1"/>
  <c r="D268" i="3" l="1"/>
  <c r="I268" i="3"/>
  <c r="H268" i="3" l="1"/>
  <c r="G268" i="3"/>
  <c r="C269" i="3" s="1"/>
  <c r="E269" i="3" l="1"/>
  <c r="D269" i="3" l="1"/>
  <c r="I269" i="3"/>
  <c r="H269" i="3" l="1"/>
  <c r="G269" i="3"/>
  <c r="C270" i="3" s="1"/>
  <c r="E270" i="3" l="1"/>
  <c r="D270" i="3" l="1"/>
  <c r="I270" i="3"/>
  <c r="H270" i="3" l="1"/>
  <c r="G270" i="3"/>
  <c r="C271" i="3" s="1"/>
  <c r="E271" i="3" l="1"/>
  <c r="D271" i="3" l="1"/>
  <c r="I271" i="3"/>
  <c r="G271" i="3" l="1"/>
  <c r="C272" i="3" s="1"/>
  <c r="H271" i="3"/>
  <c r="E272" i="3" l="1"/>
  <c r="D272" i="3" l="1"/>
  <c r="I272" i="3"/>
  <c r="G272" i="3" l="1"/>
  <c r="C273" i="3" s="1"/>
  <c r="H272" i="3"/>
  <c r="E273" i="3" l="1"/>
  <c r="D273" i="3" l="1"/>
  <c r="I273" i="3"/>
  <c r="H273" i="3" l="1"/>
  <c r="G273" i="3"/>
  <c r="C274" i="3" s="1"/>
  <c r="E274" i="3" l="1"/>
  <c r="D274" i="3" l="1"/>
  <c r="I274" i="3"/>
  <c r="H274" i="3" l="1"/>
  <c r="G274" i="3"/>
  <c r="C275" i="3" s="1"/>
  <c r="E275" i="3" l="1"/>
  <c r="D275" i="3" l="1"/>
  <c r="I275" i="3"/>
  <c r="G275" i="3" l="1"/>
  <c r="C276" i="3" s="1"/>
  <c r="H275" i="3"/>
  <c r="E276" i="3" l="1"/>
  <c r="D276" i="3" l="1"/>
  <c r="I276" i="3"/>
  <c r="G276" i="3" l="1"/>
  <c r="C277" i="3" s="1"/>
  <c r="H276" i="3"/>
  <c r="E277" i="3" l="1"/>
  <c r="D277" i="3" l="1"/>
  <c r="I277" i="3"/>
  <c r="G277" i="3" l="1"/>
  <c r="C278" i="3" s="1"/>
  <c r="H277" i="3"/>
  <c r="E278" i="3" l="1"/>
  <c r="D278" i="3" l="1"/>
  <c r="I278" i="3"/>
  <c r="G278" i="3" l="1"/>
  <c r="C279" i="3" s="1"/>
  <c r="H278" i="3"/>
  <c r="E279" i="3" l="1"/>
  <c r="D279" i="3" l="1"/>
  <c r="I279" i="3"/>
  <c r="H279" i="3" l="1"/>
  <c r="G279" i="3"/>
  <c r="C280" i="3" s="1"/>
  <c r="E280" i="3" l="1"/>
  <c r="D280" i="3" l="1"/>
  <c r="I280" i="3"/>
  <c r="G280" i="3" l="1"/>
  <c r="C281" i="3" s="1"/>
  <c r="H280" i="3"/>
  <c r="E281" i="3" l="1"/>
  <c r="D281" i="3" l="1"/>
  <c r="I281" i="3"/>
  <c r="G281" i="3" l="1"/>
  <c r="C282" i="3" s="1"/>
  <c r="H281" i="3"/>
  <c r="E282" i="3" l="1"/>
  <c r="D282" i="3" l="1"/>
  <c r="I282" i="3"/>
  <c r="G282" i="3" l="1"/>
  <c r="C283" i="3" s="1"/>
  <c r="H282" i="3"/>
  <c r="E283" i="3" l="1"/>
  <c r="D283" i="3" l="1"/>
  <c r="I283" i="3"/>
  <c r="G283" i="3" l="1"/>
  <c r="C284" i="3" s="1"/>
  <c r="H283" i="3"/>
  <c r="E284" i="3" l="1"/>
  <c r="D284" i="3" l="1"/>
  <c r="I284" i="3"/>
  <c r="H284" i="3" l="1"/>
  <c r="G284" i="3"/>
  <c r="C285" i="3" s="1"/>
  <c r="E285" i="3" l="1"/>
  <c r="D285" i="3" l="1"/>
  <c r="I285" i="3"/>
  <c r="H285" i="3" l="1"/>
  <c r="G285" i="3"/>
  <c r="C286" i="3" s="1"/>
  <c r="E286" i="3" l="1"/>
  <c r="D286" i="3" l="1"/>
  <c r="I286" i="3"/>
  <c r="H286" i="3" l="1"/>
  <c r="G286" i="3"/>
  <c r="C287" i="3" s="1"/>
  <c r="E287" i="3" l="1"/>
  <c r="D287" i="3" l="1"/>
  <c r="I287" i="3"/>
  <c r="G287" i="3" l="1"/>
  <c r="C288" i="3" s="1"/>
  <c r="H287" i="3"/>
  <c r="E288" i="3" l="1"/>
  <c r="D288" i="3" l="1"/>
  <c r="I288" i="3"/>
  <c r="H288" i="3" l="1"/>
  <c r="G288" i="3"/>
  <c r="C289" i="3" s="1"/>
  <c r="E289" i="3" l="1"/>
  <c r="D289" i="3" l="1"/>
  <c r="I289" i="3"/>
  <c r="H289" i="3" l="1"/>
  <c r="G289" i="3"/>
  <c r="C290" i="3" s="1"/>
  <c r="E290" i="3" l="1"/>
  <c r="D290" i="3" l="1"/>
  <c r="I290" i="3"/>
  <c r="G290" i="3" l="1"/>
  <c r="C291" i="3" s="1"/>
  <c r="H290" i="3"/>
  <c r="E291" i="3" l="1"/>
  <c r="D291" i="3" l="1"/>
  <c r="I291" i="3"/>
  <c r="H291" i="3" l="1"/>
  <c r="G291" i="3"/>
  <c r="C292" i="3" s="1"/>
  <c r="E292" i="3" l="1"/>
  <c r="D292" i="3" l="1"/>
  <c r="I292" i="3"/>
  <c r="G292" i="3" l="1"/>
  <c r="C293" i="3" s="1"/>
  <c r="H292" i="3"/>
  <c r="E293" i="3" l="1"/>
  <c r="D293" i="3" l="1"/>
  <c r="I293" i="3"/>
  <c r="H293" i="3" l="1"/>
  <c r="G293" i="3"/>
  <c r="C294" i="3" s="1"/>
  <c r="E294" i="3" l="1"/>
  <c r="D294" i="3" l="1"/>
  <c r="I294" i="3"/>
  <c r="G294" i="3" l="1"/>
  <c r="C295" i="3" s="1"/>
  <c r="H294" i="3"/>
  <c r="E295" i="3" l="1"/>
  <c r="D295" i="3" l="1"/>
  <c r="I295" i="3"/>
  <c r="H295" i="3" l="1"/>
  <c r="G295" i="3"/>
  <c r="C296" i="3" s="1"/>
  <c r="E296" i="3" l="1"/>
  <c r="D296" i="3" l="1"/>
  <c r="I296" i="3"/>
  <c r="G296" i="3" l="1"/>
  <c r="C297" i="3" s="1"/>
  <c r="H296" i="3"/>
  <c r="E297" i="3" l="1"/>
  <c r="D297" i="3" l="1"/>
  <c r="I297" i="3"/>
  <c r="H297" i="3" l="1"/>
  <c r="G297" i="3"/>
  <c r="C298" i="3" s="1"/>
  <c r="E298" i="3" l="1"/>
  <c r="D298" i="3" l="1"/>
  <c r="I298" i="3"/>
  <c r="G298" i="3" l="1"/>
  <c r="C299" i="3" s="1"/>
  <c r="H298" i="3"/>
  <c r="E299" i="3" l="1"/>
  <c r="D299" i="3" l="1"/>
  <c r="I299" i="3"/>
  <c r="H299" i="3" l="1"/>
  <c r="G299" i="3"/>
  <c r="C300" i="3" s="1"/>
  <c r="E300" i="3" l="1"/>
  <c r="D300" i="3" l="1"/>
  <c r="I300" i="3"/>
  <c r="G300" i="3" l="1"/>
  <c r="C301" i="3" s="1"/>
  <c r="H300" i="3"/>
  <c r="E301" i="3" l="1"/>
  <c r="D301" i="3" l="1"/>
  <c r="I301" i="3"/>
  <c r="G301" i="3" l="1"/>
  <c r="C302" i="3" s="1"/>
  <c r="H301" i="3"/>
  <c r="E302" i="3" l="1"/>
  <c r="D302" i="3" l="1"/>
  <c r="I302" i="3"/>
  <c r="G302" i="3" l="1"/>
  <c r="C303" i="3" s="1"/>
  <c r="H302" i="3"/>
  <c r="E303" i="3" l="1"/>
  <c r="D303" i="3" l="1"/>
  <c r="I303" i="3"/>
  <c r="H303" i="3" l="1"/>
  <c r="G303" i="3"/>
  <c r="C304" i="3" s="1"/>
  <c r="E304" i="3" l="1"/>
  <c r="D304" i="3" l="1"/>
  <c r="I304" i="3"/>
  <c r="G304" i="3" l="1"/>
  <c r="C305" i="3" s="1"/>
  <c r="H304" i="3"/>
  <c r="E305" i="3" l="1"/>
  <c r="D305" i="3" l="1"/>
  <c r="I305" i="3"/>
  <c r="H305" i="3" l="1"/>
  <c r="G305" i="3"/>
  <c r="C306" i="3" s="1"/>
  <c r="E306" i="3" l="1"/>
  <c r="D306" i="3" l="1"/>
  <c r="I306" i="3"/>
  <c r="H306" i="3" l="1"/>
  <c r="G306" i="3"/>
  <c r="C307" i="3" s="1"/>
  <c r="E307" i="3" l="1"/>
  <c r="D307" i="3" l="1"/>
  <c r="I307" i="3"/>
  <c r="G307" i="3" l="1"/>
  <c r="C308" i="3" s="1"/>
  <c r="H307" i="3"/>
  <c r="E308" i="3" l="1"/>
  <c r="D308" i="3" l="1"/>
  <c r="I308" i="3"/>
  <c r="H308" i="3" l="1"/>
  <c r="G308" i="3"/>
  <c r="C309" i="3" s="1"/>
  <c r="E309" i="3" l="1"/>
  <c r="D309" i="3" l="1"/>
  <c r="I309" i="3"/>
  <c r="H309" i="3" l="1"/>
  <c r="G309" i="3"/>
  <c r="C310" i="3" s="1"/>
  <c r="E310" i="3" l="1"/>
  <c r="D310" i="3" l="1"/>
  <c r="I310" i="3"/>
  <c r="G310" i="3" l="1"/>
  <c r="C311" i="3" s="1"/>
  <c r="H310" i="3"/>
  <c r="E311" i="3" l="1"/>
  <c r="D311" i="3" l="1"/>
  <c r="I311" i="3"/>
  <c r="G311" i="3" l="1"/>
  <c r="C312" i="3" s="1"/>
  <c r="H311" i="3"/>
  <c r="E312" i="3" l="1"/>
  <c r="D312" i="3" l="1"/>
  <c r="I312" i="3"/>
  <c r="H312" i="3" l="1"/>
  <c r="G312" i="3"/>
  <c r="C313" i="3" s="1"/>
  <c r="E313" i="3" l="1"/>
  <c r="D313" i="3" l="1"/>
  <c r="I313" i="3"/>
  <c r="G313" i="3" l="1"/>
  <c r="C314" i="3" s="1"/>
  <c r="H313" i="3"/>
  <c r="E314" i="3" l="1"/>
  <c r="D314" i="3" l="1"/>
  <c r="I314" i="3"/>
  <c r="G314" i="3" l="1"/>
  <c r="C315" i="3" s="1"/>
  <c r="H314" i="3"/>
  <c r="E315" i="3" l="1"/>
  <c r="D315" i="3" l="1"/>
  <c r="I315" i="3"/>
  <c r="H315" i="3" l="1"/>
  <c r="G315" i="3"/>
  <c r="C316" i="3" s="1"/>
  <c r="E316" i="3" l="1"/>
  <c r="D316" i="3" l="1"/>
  <c r="I316" i="3"/>
  <c r="G316" i="3" l="1"/>
  <c r="C317" i="3" s="1"/>
  <c r="H316" i="3"/>
  <c r="E317" i="3" l="1"/>
  <c r="D317" i="3" l="1"/>
  <c r="I317" i="3"/>
  <c r="G317" i="3" l="1"/>
  <c r="C318" i="3" s="1"/>
  <c r="H317" i="3"/>
  <c r="E318" i="3" l="1"/>
  <c r="D318" i="3" l="1"/>
  <c r="I318" i="3"/>
  <c r="H318" i="3" l="1"/>
  <c r="G318" i="3"/>
  <c r="C319" i="3" s="1"/>
  <c r="E319" i="3" l="1"/>
  <c r="D319" i="3" l="1"/>
  <c r="I319" i="3"/>
  <c r="G319" i="3" l="1"/>
  <c r="C320" i="3" s="1"/>
  <c r="H319" i="3"/>
  <c r="E320" i="3" l="1"/>
  <c r="D320" i="3" l="1"/>
  <c r="I320" i="3"/>
  <c r="G320" i="3" l="1"/>
  <c r="C321" i="3" s="1"/>
  <c r="H320" i="3"/>
  <c r="E321" i="3" l="1"/>
  <c r="D321" i="3" l="1"/>
  <c r="I321" i="3"/>
  <c r="H321" i="3" l="1"/>
  <c r="G321" i="3"/>
  <c r="C322" i="3" s="1"/>
  <c r="E322" i="3" l="1"/>
  <c r="D322" i="3" l="1"/>
  <c r="I322" i="3"/>
  <c r="H322" i="3" l="1"/>
  <c r="G322" i="3"/>
  <c r="C323" i="3" s="1"/>
  <c r="E323" i="3" l="1"/>
  <c r="D323" i="3" l="1"/>
  <c r="I323" i="3"/>
  <c r="H323" i="3" l="1"/>
  <c r="G323" i="3"/>
  <c r="C324" i="3" s="1"/>
  <c r="E324" i="3" l="1"/>
  <c r="D324" i="3" l="1"/>
  <c r="I324" i="3"/>
  <c r="H324" i="3" l="1"/>
  <c r="G324" i="3"/>
  <c r="C325" i="3" s="1"/>
  <c r="E325" i="3" l="1"/>
  <c r="D325" i="3" l="1"/>
  <c r="I325" i="3"/>
  <c r="G325" i="3" l="1"/>
  <c r="C326" i="3" s="1"/>
  <c r="H325" i="3"/>
  <c r="E326" i="3" l="1"/>
  <c r="D326" i="3" l="1"/>
  <c r="I326" i="3"/>
  <c r="G326" i="3" l="1"/>
  <c r="C327" i="3" s="1"/>
  <c r="H326" i="3"/>
  <c r="E327" i="3" l="1"/>
  <c r="D327" i="3" l="1"/>
  <c r="I327" i="3"/>
  <c r="H327" i="3" l="1"/>
  <c r="G327" i="3"/>
  <c r="C328" i="3" s="1"/>
  <c r="E328" i="3" l="1"/>
  <c r="D328" i="3" l="1"/>
  <c r="I328" i="3"/>
  <c r="G328" i="3" l="1"/>
  <c r="C329" i="3" s="1"/>
  <c r="H328" i="3"/>
  <c r="E329" i="3" l="1"/>
  <c r="D329" i="3" l="1"/>
  <c r="I329" i="3"/>
  <c r="H329" i="3" l="1"/>
  <c r="G329" i="3"/>
  <c r="C330" i="3" s="1"/>
  <c r="E330" i="3" l="1"/>
  <c r="D330" i="3" l="1"/>
  <c r="I330" i="3"/>
  <c r="H330" i="3" l="1"/>
  <c r="G330" i="3"/>
  <c r="C331" i="3" s="1"/>
  <c r="E331" i="3" l="1"/>
  <c r="D331" i="3" l="1"/>
  <c r="I331" i="3"/>
  <c r="H331" i="3" l="1"/>
  <c r="G331" i="3"/>
  <c r="C332" i="3" s="1"/>
  <c r="E332" i="3" l="1"/>
  <c r="D332" i="3" l="1"/>
  <c r="I332" i="3"/>
  <c r="H332" i="3" l="1"/>
  <c r="G332" i="3"/>
  <c r="C333" i="3" s="1"/>
  <c r="E333" i="3" l="1"/>
  <c r="D333" i="3" l="1"/>
  <c r="I333" i="3"/>
  <c r="H333" i="3" l="1"/>
  <c r="G333" i="3"/>
  <c r="C334" i="3" s="1"/>
  <c r="E334" i="3" l="1"/>
  <c r="D334" i="3" l="1"/>
  <c r="I334" i="3"/>
  <c r="H334" i="3" l="1"/>
  <c r="G334" i="3"/>
  <c r="C335" i="3" s="1"/>
  <c r="E335" i="3" l="1"/>
  <c r="D335" i="3" l="1"/>
  <c r="I335" i="3"/>
  <c r="H335" i="3" l="1"/>
  <c r="G335" i="3"/>
  <c r="C336" i="3" s="1"/>
  <c r="E336" i="3" l="1"/>
  <c r="D336" i="3" l="1"/>
  <c r="I336" i="3"/>
  <c r="G336" i="3" l="1"/>
  <c r="C337" i="3" s="1"/>
  <c r="H336" i="3"/>
  <c r="E337" i="3" l="1"/>
  <c r="D337" i="3" l="1"/>
  <c r="I337" i="3"/>
  <c r="G337" i="3" l="1"/>
  <c r="C338" i="3" s="1"/>
  <c r="H337" i="3"/>
  <c r="E338" i="3" l="1"/>
  <c r="D338" i="3" l="1"/>
  <c r="I338" i="3"/>
  <c r="H338" i="3" l="1"/>
  <c r="G338" i="3"/>
  <c r="C339" i="3" s="1"/>
  <c r="E339" i="3" l="1"/>
  <c r="D339" i="3" l="1"/>
  <c r="I339" i="3"/>
  <c r="H339" i="3" l="1"/>
  <c r="G339" i="3"/>
  <c r="C340" i="3" s="1"/>
  <c r="E340" i="3" l="1"/>
  <c r="D340" i="3" l="1"/>
  <c r="I340" i="3"/>
  <c r="H340" i="3" l="1"/>
  <c r="G340" i="3"/>
  <c r="C341" i="3" s="1"/>
  <c r="E341" i="3" l="1"/>
  <c r="D341" i="3" l="1"/>
  <c r="I341" i="3"/>
  <c r="G341" i="3" l="1"/>
  <c r="C342" i="3" s="1"/>
  <c r="H341" i="3"/>
  <c r="E342" i="3" l="1"/>
  <c r="D342" i="3" l="1"/>
  <c r="I342" i="3"/>
  <c r="H342" i="3" l="1"/>
  <c r="G342" i="3"/>
  <c r="C343" i="3" s="1"/>
  <c r="E343" i="3" l="1"/>
  <c r="D343" i="3" l="1"/>
  <c r="I343" i="3"/>
  <c r="G343" i="3" l="1"/>
  <c r="C344" i="3" s="1"/>
  <c r="H343" i="3"/>
  <c r="E344" i="3" l="1"/>
  <c r="D344" i="3" l="1"/>
  <c r="I344" i="3"/>
  <c r="H344" i="3" l="1"/>
  <c r="G344" i="3"/>
  <c r="C345" i="3" s="1"/>
  <c r="E345" i="3" l="1"/>
  <c r="D345" i="3" l="1"/>
  <c r="I345" i="3"/>
  <c r="H345" i="3" l="1"/>
  <c r="G345" i="3"/>
  <c r="C346" i="3" s="1"/>
  <c r="E346" i="3" l="1"/>
  <c r="D346" i="3" l="1"/>
  <c r="I346" i="3"/>
  <c r="G346" i="3" l="1"/>
  <c r="C347" i="3" s="1"/>
  <c r="H346" i="3"/>
  <c r="E347" i="3" l="1"/>
  <c r="D347" i="3" l="1"/>
  <c r="I347" i="3"/>
  <c r="H347" i="3" l="1"/>
  <c r="G347" i="3"/>
  <c r="C348" i="3" s="1"/>
  <c r="E348" i="3" l="1"/>
  <c r="D348" i="3" l="1"/>
  <c r="I348" i="3"/>
  <c r="G348" i="3" l="1"/>
  <c r="C349" i="3" s="1"/>
  <c r="H348" i="3"/>
  <c r="E349" i="3" l="1"/>
  <c r="D349" i="3" l="1"/>
  <c r="I349" i="3"/>
  <c r="H349" i="3" l="1"/>
  <c r="G349" i="3"/>
  <c r="C350" i="3" s="1"/>
  <c r="E350" i="3" l="1"/>
  <c r="D350" i="3" l="1"/>
  <c r="I350" i="3"/>
  <c r="H350" i="3" l="1"/>
  <c r="G350" i="3"/>
  <c r="C351" i="3" s="1"/>
  <c r="E351" i="3" l="1"/>
  <c r="D351" i="3" l="1"/>
  <c r="I351" i="3"/>
  <c r="H351" i="3" l="1"/>
  <c r="G351" i="3"/>
  <c r="C352" i="3" s="1"/>
  <c r="E352" i="3" l="1"/>
  <c r="D352" i="3" l="1"/>
  <c r="I352" i="3"/>
  <c r="H352" i="3" l="1"/>
  <c r="G352" i="3"/>
  <c r="C353" i="3" s="1"/>
  <c r="E353" i="3" l="1"/>
  <c r="D353" i="3" l="1"/>
  <c r="I353" i="3"/>
  <c r="G353" i="3" l="1"/>
  <c r="C354" i="3" s="1"/>
  <c r="H353" i="3"/>
  <c r="E354" i="3" l="1"/>
  <c r="D354" i="3" l="1"/>
  <c r="I354" i="3"/>
  <c r="H354" i="3" l="1"/>
  <c r="G354" i="3"/>
  <c r="C355" i="3" s="1"/>
  <c r="E355" i="3" l="1"/>
  <c r="D355" i="3" l="1"/>
  <c r="I355" i="3"/>
  <c r="G355" i="3" l="1"/>
  <c r="C356" i="3" s="1"/>
  <c r="H355" i="3"/>
  <c r="E356" i="3" l="1"/>
  <c r="D356" i="3" l="1"/>
  <c r="I356" i="3"/>
  <c r="H356" i="3" l="1"/>
  <c r="G356" i="3"/>
  <c r="C357" i="3" s="1"/>
  <c r="E357" i="3" l="1"/>
  <c r="D357" i="3" l="1"/>
  <c r="I357" i="3"/>
  <c r="H357" i="3" l="1"/>
  <c r="G357" i="3"/>
  <c r="C358" i="3" s="1"/>
  <c r="E358" i="3" l="1"/>
  <c r="D358" i="3" l="1"/>
  <c r="I358" i="3"/>
  <c r="H358" i="3" l="1"/>
  <c r="G358" i="3"/>
  <c r="C359" i="3" s="1"/>
  <c r="E359" i="3" l="1"/>
  <c r="D359" i="3" l="1"/>
  <c r="I359" i="3"/>
  <c r="G359" i="3" l="1"/>
  <c r="C360" i="3" s="1"/>
  <c r="H359" i="3"/>
  <c r="E360" i="3" l="1"/>
  <c r="D360" i="3" l="1"/>
  <c r="I360" i="3"/>
  <c r="H360" i="3" l="1"/>
  <c r="G360" i="3"/>
  <c r="C361" i="3" s="1"/>
  <c r="E361" i="3" l="1"/>
  <c r="D361" i="3" l="1"/>
  <c r="I361" i="3"/>
  <c r="H361" i="3" l="1"/>
  <c r="G361" i="3"/>
  <c r="C362" i="3" s="1"/>
  <c r="E362" i="3" l="1"/>
  <c r="D362" i="3" l="1"/>
  <c r="I362" i="3"/>
  <c r="G362" i="3" l="1"/>
  <c r="C363" i="3" s="1"/>
  <c r="H362" i="3"/>
  <c r="E363" i="3" l="1"/>
  <c r="D363" i="3" l="1"/>
  <c r="I363" i="3"/>
  <c r="H363" i="3" l="1"/>
  <c r="G363" i="3"/>
  <c r="C364" i="3" s="1"/>
  <c r="E364" i="3" l="1"/>
  <c r="D364" i="3" l="1"/>
  <c r="I364" i="3"/>
  <c r="H364" i="3" l="1"/>
  <c r="G364" i="3"/>
  <c r="C365" i="3" s="1"/>
  <c r="E365" i="3" l="1"/>
  <c r="D365" i="3" l="1"/>
  <c r="I365" i="3"/>
  <c r="G365" i="3" l="1"/>
  <c r="C366" i="3" s="1"/>
  <c r="H365" i="3"/>
  <c r="E366" i="3" l="1"/>
  <c r="D366" i="3" l="1"/>
  <c r="I366" i="3"/>
  <c r="G366" i="3" l="1"/>
  <c r="C367" i="3" s="1"/>
  <c r="H366" i="3"/>
  <c r="E367" i="3" l="1"/>
  <c r="D367" i="3" l="1"/>
  <c r="I367" i="3"/>
  <c r="H367" i="3" l="1"/>
  <c r="G367" i="3"/>
  <c r="C368" i="3" s="1"/>
  <c r="E368" i="3" l="1"/>
  <c r="D368" i="3" l="1"/>
  <c r="I368" i="3"/>
  <c r="H368" i="3" l="1"/>
  <c r="G368" i="3"/>
  <c r="C369" i="3" s="1"/>
  <c r="E369" i="3" l="1"/>
  <c r="D369" i="3" l="1"/>
  <c r="I369" i="3"/>
  <c r="G369" i="3" l="1"/>
  <c r="C370" i="3" s="1"/>
  <c r="H369" i="3"/>
  <c r="E370" i="3" l="1"/>
  <c r="D370" i="3" l="1"/>
  <c r="I370" i="3"/>
  <c r="H370" i="3" l="1"/>
  <c r="G370" i="3"/>
</calcChain>
</file>

<file path=xl/sharedStrings.xml><?xml version="1.0" encoding="utf-8"?>
<sst xmlns="http://schemas.openxmlformats.org/spreadsheetml/2006/main" count="193" uniqueCount="178">
  <si>
    <t>AEQUITAS BEDROCK HOUSING - UNDERWRITING ASSUMPTIONS</t>
  </si>
  <si>
    <t>PROPERTY INFORMATION</t>
  </si>
  <si>
    <t>Property Name</t>
  </si>
  <si>
    <t>Deal 3 - 20th Place Sacramento, 1925, F Street, Boulevard Park, Sacramento, Sacramento County, California, 95811, United States</t>
  </si>
  <si>
    <t>Address</t>
  </si>
  <si>
    <t>95814</t>
  </si>
  <si>
    <t>City</t>
  </si>
  <si>
    <t>County</t>
  </si>
  <si>
    <t>Sacramento County</t>
  </si>
  <si>
    <t>State</t>
  </si>
  <si>
    <t>CA</t>
  </si>
  <si>
    <t>ZIP Code</t>
  </si>
  <si>
    <t>Year Built</t>
  </si>
  <si>
    <t>Building Type</t>
  </si>
  <si>
    <t>Garden Style</t>
  </si>
  <si>
    <t>Number of Buildings</t>
  </si>
  <si>
    <t>Parking Spaces</t>
  </si>
  <si>
    <t>ACQUISITION</t>
  </si>
  <si>
    <t>Purchase Price</t>
  </si>
  <si>
    <t>Acquisition Date</t>
  </si>
  <si>
    <t>Earnest Money %</t>
  </si>
  <si>
    <t>Closing Costs %</t>
  </si>
  <si>
    <t>Due Diligence Costs</t>
  </si>
  <si>
    <t>UNIT MIX</t>
  </si>
  <si>
    <t>Unit Type</t>
  </si>
  <si>
    <t>Count</t>
  </si>
  <si>
    <t>Avg SF</t>
  </si>
  <si>
    <t>Current Rent</t>
  </si>
  <si>
    <t>Market Rent</t>
  </si>
  <si>
    <t>Reno Cost/Unit</t>
  </si>
  <si>
    <t>1BR/1BA</t>
  </si>
  <si>
    <t>2BR/2BA</t>
  </si>
  <si>
    <t>3BR/2BA</t>
  </si>
  <si>
    <t>TOTALS</t>
  </si>
  <si>
    <t>CURRENT OPERATIONS (T12)</t>
  </si>
  <si>
    <t>Physical Occupancy %</t>
  </si>
  <si>
    <t>Economic Occupancy %</t>
  </si>
  <si>
    <t>Gross Potential Rent (Annual)</t>
  </si>
  <si>
    <t>Other Income (Annual):</t>
  </si>
  <si>
    <t xml:space="preserve">  Laundry ($/unit/month)</t>
  </si>
  <si>
    <t xml:space="preserve">  Pet Rent ($/unit/month)</t>
  </si>
  <si>
    <t xml:space="preserve">  Parking ($/space/month)</t>
  </si>
  <si>
    <t xml:space="preserve">  Other ($/unit/month)</t>
  </si>
  <si>
    <t>Total Other Income (Annual)</t>
  </si>
  <si>
    <t>Vacancy Loss (Annual)</t>
  </si>
  <si>
    <t>Concessions (Annual)</t>
  </si>
  <si>
    <t>Bad Debt (Annual)</t>
  </si>
  <si>
    <t>Effective Gross Income (EGI)</t>
  </si>
  <si>
    <t>OPERATING EXPENSES (T12)</t>
  </si>
  <si>
    <t>Property Taxes</t>
  </si>
  <si>
    <t>Insurance</t>
  </si>
  <si>
    <t>Utilities - Electric</t>
  </si>
  <si>
    <t>Utilities - Gas</t>
  </si>
  <si>
    <t>Utilities - Water/Sewer</t>
  </si>
  <si>
    <t>Utilities - Trash</t>
  </si>
  <si>
    <t>Repairs &amp; Maintenance</t>
  </si>
  <si>
    <t>Payroll</t>
  </si>
  <si>
    <t>Management Fee %</t>
  </si>
  <si>
    <t xml:space="preserve">  Management Fee ($)</t>
  </si>
  <si>
    <t>Marketing/Advertising</t>
  </si>
  <si>
    <t>Legal/Professional</t>
  </si>
  <si>
    <t>Administrative</t>
  </si>
  <si>
    <t>Total Operating Expenses</t>
  </si>
  <si>
    <t>Net Operating Income (NOI)</t>
  </si>
  <si>
    <t>Operating Expense Ratio</t>
  </si>
  <si>
    <t>RENOVATION BUDGET</t>
  </si>
  <si>
    <t>Per-Unit Interior (from Unit Mix)</t>
  </si>
  <si>
    <t>Common Area/Exterior</t>
  </si>
  <si>
    <t>Contingency %</t>
  </si>
  <si>
    <t>Total Renovation Budget</t>
  </si>
  <si>
    <t>OPERATING PROJECTIONS</t>
  </si>
  <si>
    <t>Market Rent Growth % (Annual)</t>
  </si>
  <si>
    <t>In-Place Rent Growth % (Annual)</t>
  </si>
  <si>
    <t>Other Income Growth % (Annual)</t>
  </si>
  <si>
    <t>OpEx Growth % (Annual)</t>
  </si>
  <si>
    <t>Stabilized Vacancy %</t>
  </si>
  <si>
    <t>CapEx Reserve ($/unit/year)</t>
  </si>
  <si>
    <t>FINANCING</t>
  </si>
  <si>
    <t>Loan Type</t>
  </si>
  <si>
    <t>Agency Fixed</t>
  </si>
  <si>
    <t>LTV %</t>
  </si>
  <si>
    <t>Interest Rate %</t>
  </si>
  <si>
    <t>Amortization (years)</t>
  </si>
  <si>
    <t>Loan Term (years)</t>
  </si>
  <si>
    <t>Origination Fee %</t>
  </si>
  <si>
    <t>Lender Legal/DD</t>
  </si>
  <si>
    <t>Loan Amount</t>
  </si>
  <si>
    <t>EXIT ASSUMPTIONS</t>
  </si>
  <si>
    <t>Hold Period (years)</t>
  </si>
  <si>
    <t>Exit Cap Rate %</t>
  </si>
  <si>
    <t>Sale Costs %</t>
  </si>
  <si>
    <t>PROPERTY TAX</t>
  </si>
  <si>
    <t>County Tax Rate %</t>
  </si>
  <si>
    <t>Prop 13 Cap % (CA only)</t>
  </si>
  <si>
    <t>Mello-Roos/Special Assessments</t>
  </si>
  <si>
    <t>SOURCES &amp; USES OF FUNDS</t>
  </si>
  <si>
    <t>SOURCES</t>
  </si>
  <si>
    <t>Loan Proceeds</t>
  </si>
  <si>
    <t>Equity</t>
  </si>
  <si>
    <t>TOTAL SOURCES</t>
  </si>
  <si>
    <t>USES</t>
  </si>
  <si>
    <t>Acquisition Costs</t>
  </si>
  <si>
    <t xml:space="preserve">  Purchase Price</t>
  </si>
  <si>
    <t xml:space="preserve">  Closing Costs</t>
  </si>
  <si>
    <t xml:space="preserve">  Due Diligence</t>
  </si>
  <si>
    <t>Subtotal Acquisition</t>
  </si>
  <si>
    <t>Renovation Costs</t>
  </si>
  <si>
    <t xml:space="preserve">  Total Renovation Budget</t>
  </si>
  <si>
    <t>Financing Costs</t>
  </si>
  <si>
    <t xml:space="preserve">  Loan Origination Fee</t>
  </si>
  <si>
    <t xml:space="preserve">  Lender Legal/DD</t>
  </si>
  <si>
    <t>Subtotal Financing</t>
  </si>
  <si>
    <t>TOTAL USES</t>
  </si>
  <si>
    <t>PER UNIT METRICS</t>
  </si>
  <si>
    <t>Purchase Price per Unit</t>
  </si>
  <si>
    <t>Renovation Cost per Unit</t>
  </si>
  <si>
    <t>Total Project Cost per Unit</t>
  </si>
  <si>
    <t>DEBT SCHEDULE</t>
  </si>
  <si>
    <t>Loan Amount:</t>
  </si>
  <si>
    <t>Interest Rate:</t>
  </si>
  <si>
    <t>Amortization:</t>
  </si>
  <si>
    <t>years</t>
  </si>
  <si>
    <t>Monthly Payment:</t>
  </si>
  <si>
    <t>Annual Debt Service:</t>
  </si>
  <si>
    <t>Year</t>
  </si>
  <si>
    <t>Month</t>
  </si>
  <si>
    <t>Beg Balance</t>
  </si>
  <si>
    <t>Principal</t>
  </si>
  <si>
    <t>Interest</t>
  </si>
  <si>
    <t>Total Pmt</t>
  </si>
  <si>
    <t>End Balance</t>
  </si>
  <si>
    <t>Cum Principal</t>
  </si>
  <si>
    <t>Cum Interest</t>
  </si>
  <si>
    <t>ANNUAL CASH FLOW PRO FORMA (10 Years)</t>
  </si>
  <si>
    <t>REVENUE</t>
  </si>
  <si>
    <t>Gross Potential Rent</t>
  </si>
  <si>
    <t>Other Income</t>
  </si>
  <si>
    <t>Gross Potential Income</t>
  </si>
  <si>
    <t>Less: Economic Loss</t>
  </si>
  <si>
    <t xml:space="preserve">  Vacancy &amp; Credit Loss</t>
  </si>
  <si>
    <t>OPERATING EXPENSES</t>
  </si>
  <si>
    <t>Utilities</t>
  </si>
  <si>
    <t>Marketing</t>
  </si>
  <si>
    <t>Management Fee</t>
  </si>
  <si>
    <t>NET OPERATING INCOME (NOI)</t>
  </si>
  <si>
    <t>NOI per Unit</t>
  </si>
  <si>
    <t>NOI Margin %</t>
  </si>
  <si>
    <t>CAPITAL EXPENDITURES &amp; DEBT SERVICE</t>
  </si>
  <si>
    <t>CapEx Reserve</t>
  </si>
  <si>
    <t>Renovation Expenditures</t>
  </si>
  <si>
    <t>Annual Debt Service</t>
  </si>
  <si>
    <t>Debt Service Coverage Ratio</t>
  </si>
  <si>
    <t>N/A</t>
  </si>
  <si>
    <t>NET CASH FLOW (Before Sale)</t>
  </si>
  <si>
    <t>SALE PROCEEDS (at exit)</t>
  </si>
  <si>
    <t>Forward NOI (Year N+1)</t>
  </si>
  <si>
    <t>Gross Sale Price (at Exit Cap)</t>
  </si>
  <si>
    <t>Less: Sale Costs</t>
  </si>
  <si>
    <t>Net Sale Proceeds (before debt)</t>
  </si>
  <si>
    <t>Less: Loan Payoff</t>
  </si>
  <si>
    <t>Net Proceeds to Equity</t>
  </si>
  <si>
    <t>TOTAL CASH FLOW TO EQUITY</t>
  </si>
  <si>
    <t>RETURN METRICS</t>
  </si>
  <si>
    <t>Total Equity Invested</t>
  </si>
  <si>
    <t>Levered IRR</t>
  </si>
  <si>
    <t>Equity Multiple</t>
  </si>
  <si>
    <t>Average Cash-on-Cash Return (Yr 3-5)</t>
  </si>
  <si>
    <t>Year 5 NOI</t>
  </si>
  <si>
    <t>Yield on Cost (Stabilized NOI / Total Cost)</t>
  </si>
  <si>
    <t>REFERENCE DATA</t>
  </si>
  <si>
    <t>This tab contains lookup data and reference tables</t>
  </si>
  <si>
    <t>Unit Types</t>
  </si>
  <si>
    <t>Studio</t>
  </si>
  <si>
    <t>2BR/1BA</t>
  </si>
  <si>
    <t>3BR/2.5BA</t>
  </si>
  <si>
    <t>Loan Types</t>
  </si>
  <si>
    <t>Bridge Floating</t>
  </si>
  <si>
    <t>Bridge to 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</si>
</sst>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6" formatCode="mm/dd/yyyy"/>
    <numFmt numFmtId="167" formatCode="0.0%"/>
    <numFmt numFmtId="168" formatCode="0.00\x"/>
  </numFmts>
  <fonts count="4" x14ac:knownFonts="1">
    <font>
      <sz val="11"/>
      <color theme="1"/>
      <name val="Calibri"/>
      <family val="2"/>
      <scheme val="minor"/>
    </font>
    <font>
      <b/>
      <sz val="18"/>
      <name val="Calibri"/>
      <family val="2"/>
    </font>
    <font>
      <b/>
      <sz val="14"/>
      <color rgb="FFFFFFFF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1" xfId="0" applyFill="1" applyBorder="1"/>
    <xf numFmtId="1" fontId="0" fillId="3" borderId="1" xfId="0" applyNumberFormat="1" applyFill="1" applyBorder="1"/>
    <xf numFmtId="164" fontId="0" fillId="3" borderId="1" xfId="0" applyNumberFormat="1" applyFill="1" applyBorder="1"/>
    <xf numFmtId="166" fontId="0" fillId="3" borderId="1" xfId="0" applyNumberFormat="1" applyFill="1" applyBorder="1"/>
    <xf numFmtId="167" fontId="0" fillId="3" borderId="1" xfId="0" applyNumberFormat="1" applyFill="1" applyBorder="1"/>
    <xf numFmtId="0" fontId="3" fillId="3" borderId="1" xfId="0" applyFont="1" applyFill="1" applyBorder="1"/>
    <xf numFmtId="0" fontId="0" fillId="4" borderId="1" xfId="0" applyFill="1" applyBorder="1"/>
    <xf numFmtId="3" fontId="0" fillId="3" borderId="1" xfId="0" applyNumberFormat="1" applyFill="1" applyBorder="1"/>
    <xf numFmtId="0" fontId="3" fillId="0" borderId="1" xfId="0" applyFont="1" applyBorder="1"/>
    <xf numFmtId="3" fontId="3" fillId="0" borderId="1" xfId="0" applyNumberFormat="1" applyFont="1" applyBorder="1"/>
    <xf numFmtId="164" fontId="3" fillId="0" borderId="1" xfId="0" applyNumberFormat="1" applyFont="1" applyBorder="1"/>
    <xf numFmtId="164" fontId="0" fillId="4" borderId="0" xfId="0" applyNumberFormat="1" applyFill="1"/>
    <xf numFmtId="0" fontId="3" fillId="0" borderId="0" xfId="0" applyFont="1"/>
    <xf numFmtId="164" fontId="3" fillId="4" borderId="0" xfId="0" applyNumberFormat="1" applyFont="1" applyFill="1"/>
    <xf numFmtId="164" fontId="3" fillId="4" borderId="2" xfId="0" applyNumberFormat="1" applyFont="1" applyFill="1" applyBorder="1"/>
    <xf numFmtId="167" fontId="0" fillId="4" borderId="0" xfId="0" applyNumberFormat="1" applyFill="1"/>
    <xf numFmtId="10" fontId="0" fillId="3" borderId="1" xfId="0" applyNumberFormat="1" applyFill="1" applyBorder="1"/>
    <xf numFmtId="164" fontId="0" fillId="0" borderId="0" xfId="0" applyNumberFormat="1"/>
    <xf numFmtId="164" fontId="3" fillId="0" borderId="2" xfId="0" applyNumberFormat="1" applyFont="1" applyBorder="1"/>
    <xf numFmtId="164" fontId="3" fillId="0" borderId="0" xfId="0" applyNumberFormat="1" applyFont="1"/>
    <xf numFmtId="10" fontId="0" fillId="0" borderId="0" xfId="0" applyNumberFormat="1"/>
    <xf numFmtId="1" fontId="0" fillId="0" borderId="0" xfId="0" applyNumberFormat="1"/>
    <xf numFmtId="164" fontId="3" fillId="0" borderId="3" xfId="0" applyNumberFormat="1" applyFont="1" applyBorder="1"/>
    <xf numFmtId="164" fontId="3" fillId="0" borderId="4" xfId="0" applyNumberFormat="1" applyFont="1" applyBorder="1"/>
    <xf numFmtId="167" fontId="0" fillId="0" borderId="0" xfId="0" applyNumberFormat="1"/>
    <xf numFmtId="168" fontId="0" fillId="0" borderId="0" xfId="0" applyNumberFormat="1"/>
    <xf numFmtId="167" fontId="3" fillId="5" borderId="0" xfId="0" applyNumberFormat="1" applyFont="1" applyFill="1"/>
    <xf numFmtId="168" fontId="3" fillId="5" borderId="0" xfId="0" applyNumberFormat="1" applyFont="1" applyFill="1"/>
    <xf numFmtId="0" fontId="1" fillId="0" borderId="0" xfId="0" applyFont="1"/>
    <xf numFmtId="0" fontId="0" fillId="0" borderId="0" xfId="0"/>
    <xf numFmtId="0" fontId="2" fillId="2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"/>
  <sheetViews>
    <sheetView workbookViewId="0">
      <selection sqref="A1:D1"/>
    </sheetView>
  </sheetViews>
  <sheetFormatPr baseColWidth="10" defaultColWidth="8.83203125" defaultRowHeight="15" x14ac:dyDescent="0.2"/>
  <cols>
    <col min="1" max="1" width="30" customWidth="1"/>
    <col min="2" max="2" width="20" customWidth="1"/>
    <col min="3" max="4" width="15" customWidth="1"/>
  </cols>
  <sheetData>
    <row r="1" spans="1:4" ht="24" x14ac:dyDescent="0.3">
      <c r="A1" s="31" t="s">
        <v>0</v>
      </c>
      <c r="B1" s="32"/>
      <c r="C1" s="32"/>
      <c r="D1" s="32"/>
    </row>
    <row r="3" spans="1:4" ht="19" x14ac:dyDescent="0.25">
      <c r="A3" s="33" t="s">
        <v>1</v>
      </c>
      <c r="B3" s="32"/>
      <c r="C3" s="32"/>
      <c r="D3" s="32"/>
    </row>
    <row r="4" spans="1:4" x14ac:dyDescent="0.2">
      <c r="A4" t="s">
        <v>2</v>
      </c>
      <c r="B4" s="3" t="s">
        <v>3</v>
      </c>
    </row>
    <row r="5" spans="1:4" x14ac:dyDescent="0.2">
      <c r="A5" t="s">
        <v>4</v>
      </c>
      <c r="B5" s="3" t="s">
        <v>5</v>
      </c>
    </row>
    <row r="6" spans="1:4" x14ac:dyDescent="0.2">
      <c r="A6" t="s">
        <v>6</v>
      </c>
      <c r="B6" s="3" t="s">
        <v>5</v>
      </c>
    </row>
    <row r="7" spans="1:4" x14ac:dyDescent="0.2">
      <c r="A7" t="s">
        <v>7</v>
      </c>
      <c r="B7" s="3" t="s">
        <v>8</v>
      </c>
    </row>
    <row r="8" spans="1:4" x14ac:dyDescent="0.2">
      <c r="A8" t="s">
        <v>9</v>
      </c>
      <c r="B8" s="3" t="s">
        <v>10</v>
      </c>
    </row>
    <row r="9" spans="1:4" x14ac:dyDescent="0.2">
      <c r="A9" t="s">
        <v>11</v>
      </c>
      <c r="B9" s="3" t="s">
        <v>5</v>
      </c>
    </row>
    <row r="10" spans="1:4" x14ac:dyDescent="0.2">
      <c r="A10" t="s">
        <v>12</v>
      </c>
      <c r="B10" s="4">
        <v>1985</v>
      </c>
    </row>
    <row r="11" spans="1:4" x14ac:dyDescent="0.2">
      <c r="A11" t="s">
        <v>13</v>
      </c>
      <c r="B11" s="3" t="s">
        <v>14</v>
      </c>
    </row>
    <row r="12" spans="1:4" x14ac:dyDescent="0.2">
      <c r="A12" t="s">
        <v>15</v>
      </c>
      <c r="B12" s="4">
        <v>4</v>
      </c>
    </row>
    <row r="13" spans="1:4" x14ac:dyDescent="0.2">
      <c r="A13" t="s">
        <v>16</v>
      </c>
      <c r="B13" s="4">
        <v>300</v>
      </c>
    </row>
    <row r="15" spans="1:4" ht="19" x14ac:dyDescent="0.25">
      <c r="A15" s="33" t="s">
        <v>17</v>
      </c>
      <c r="B15" s="32"/>
      <c r="C15" s="32"/>
      <c r="D15" s="32"/>
    </row>
    <row r="16" spans="1:4" x14ac:dyDescent="0.2">
      <c r="A16" t="s">
        <v>18</v>
      </c>
      <c r="B16" s="5">
        <v>15000000</v>
      </c>
    </row>
    <row r="17" spans="1:6" x14ac:dyDescent="0.2">
      <c r="A17" t="s">
        <v>19</v>
      </c>
      <c r="B17" s="6">
        <v>46021.954917384261</v>
      </c>
    </row>
    <row r="18" spans="1:6" x14ac:dyDescent="0.2">
      <c r="A18" t="s">
        <v>20</v>
      </c>
      <c r="B18" s="7">
        <v>0.02</v>
      </c>
    </row>
    <row r="19" spans="1:6" x14ac:dyDescent="0.2">
      <c r="A19" t="s">
        <v>21</v>
      </c>
      <c r="B19" s="7">
        <v>0.2</v>
      </c>
    </row>
    <row r="20" spans="1:6" x14ac:dyDescent="0.2">
      <c r="A20" t="s">
        <v>22</v>
      </c>
      <c r="B20" s="5">
        <v>50000</v>
      </c>
    </row>
    <row r="22" spans="1:6" ht="19" x14ac:dyDescent="0.25">
      <c r="A22" s="33" t="s">
        <v>23</v>
      </c>
      <c r="B22" s="32"/>
      <c r="C22" s="32"/>
      <c r="D22" s="32"/>
      <c r="E22" s="32"/>
      <c r="F22" s="32"/>
    </row>
    <row r="23" spans="1:6" x14ac:dyDescent="0.2">
      <c r="A23" s="8" t="s">
        <v>24</v>
      </c>
      <c r="B23" s="8" t="s">
        <v>25</v>
      </c>
      <c r="C23" s="8" t="s">
        <v>26</v>
      </c>
      <c r="D23" s="8" t="s">
        <v>27</v>
      </c>
      <c r="E23" s="8" t="s">
        <v>28</v>
      </c>
      <c r="F23" s="8" t="s">
        <v>29</v>
      </c>
    </row>
    <row r="24" spans="1:6" x14ac:dyDescent="0.2">
      <c r="A24" s="9" t="s">
        <v>30</v>
      </c>
      <c r="B24" s="10">
        <v>60</v>
      </c>
      <c r="C24" s="10">
        <v>650</v>
      </c>
      <c r="D24" s="5">
        <v>2043.4</v>
      </c>
      <c r="E24" s="5">
        <v>2404</v>
      </c>
      <c r="F24" s="5">
        <v>8000</v>
      </c>
    </row>
    <row r="25" spans="1:6" x14ac:dyDescent="0.2">
      <c r="A25" s="9" t="s">
        <v>31</v>
      </c>
      <c r="B25" s="10">
        <v>100</v>
      </c>
      <c r="C25" s="10">
        <v>900</v>
      </c>
      <c r="D25" s="5">
        <v>2404</v>
      </c>
      <c r="E25" s="5">
        <v>2764.6</v>
      </c>
      <c r="F25" s="5">
        <v>10000</v>
      </c>
    </row>
    <row r="26" spans="1:6" x14ac:dyDescent="0.2">
      <c r="A26" s="9" t="s">
        <v>32</v>
      </c>
      <c r="B26" s="10">
        <v>40</v>
      </c>
      <c r="C26" s="10">
        <v>1100</v>
      </c>
      <c r="D26" s="5">
        <v>2884.8</v>
      </c>
      <c r="E26" s="5">
        <v>3365.6</v>
      </c>
      <c r="F26" s="5">
        <v>12000</v>
      </c>
    </row>
    <row r="27" spans="1:6" x14ac:dyDescent="0.2">
      <c r="A27" s="11" t="s">
        <v>33</v>
      </c>
      <c r="B27" s="12">
        <f>SUM(B24:B26)</f>
        <v>200</v>
      </c>
      <c r="C27" s="12">
        <f>SUMPRODUCT(B24:B26,C24:C26)/B27</f>
        <v>865</v>
      </c>
      <c r="D27" s="13">
        <f>SUMPRODUCT(B24:B26,D24:D26)/B27</f>
        <v>2391.98</v>
      </c>
      <c r="E27" s="13">
        <f>SUMPRODUCT(B24:B26,E24:E26)/B27</f>
        <v>2776.62</v>
      </c>
      <c r="F27" s="13">
        <f>SUMPRODUCT(B24:B26,F24:F26)</f>
        <v>1960000</v>
      </c>
    </row>
    <row r="29" spans="1:6" ht="19" x14ac:dyDescent="0.25">
      <c r="A29" s="33" t="s">
        <v>34</v>
      </c>
      <c r="B29" s="32"/>
      <c r="C29" s="32"/>
      <c r="D29" s="32"/>
    </row>
    <row r="30" spans="1:6" x14ac:dyDescent="0.2">
      <c r="A30" t="s">
        <v>35</v>
      </c>
      <c r="B30" s="7">
        <v>0.95</v>
      </c>
    </row>
    <row r="31" spans="1:6" x14ac:dyDescent="0.2">
      <c r="A31" t="s">
        <v>36</v>
      </c>
      <c r="B31" s="7">
        <v>0.9</v>
      </c>
    </row>
    <row r="32" spans="1:6" x14ac:dyDescent="0.2">
      <c r="A32" t="s">
        <v>37</v>
      </c>
      <c r="B32" s="14">
        <f>Total_Units*Avg_Current_Rent*12</f>
        <v>5740752</v>
      </c>
    </row>
    <row r="33" spans="1:4" x14ac:dyDescent="0.2">
      <c r="A33" s="15" t="s">
        <v>38</v>
      </c>
    </row>
    <row r="34" spans="1:4" x14ac:dyDescent="0.2">
      <c r="A34" t="s">
        <v>39</v>
      </c>
      <c r="B34" s="5">
        <v>15</v>
      </c>
    </row>
    <row r="35" spans="1:4" x14ac:dyDescent="0.2">
      <c r="A35" t="s">
        <v>40</v>
      </c>
      <c r="B35" s="5">
        <v>25</v>
      </c>
    </row>
    <row r="36" spans="1:4" x14ac:dyDescent="0.2">
      <c r="A36" t="s">
        <v>41</v>
      </c>
      <c r="B36" s="5">
        <v>30</v>
      </c>
    </row>
    <row r="37" spans="1:4" x14ac:dyDescent="0.2">
      <c r="A37" t="s">
        <v>42</v>
      </c>
      <c r="B37" s="5">
        <v>10</v>
      </c>
    </row>
    <row r="38" spans="1:4" x14ac:dyDescent="0.2">
      <c r="A38" t="s">
        <v>43</v>
      </c>
      <c r="B38" s="16">
        <f>(B34+B35+B37)*Total_Units*12+B36*300*12</f>
        <v>228000</v>
      </c>
    </row>
    <row r="39" spans="1:4" x14ac:dyDescent="0.2">
      <c r="A39" t="s">
        <v>44</v>
      </c>
      <c r="B39" s="5">
        <v>288480</v>
      </c>
    </row>
    <row r="40" spans="1:4" x14ac:dyDescent="0.2">
      <c r="A40" t="s">
        <v>45</v>
      </c>
      <c r="B40" s="5">
        <v>20000</v>
      </c>
    </row>
    <row r="41" spans="1:4" x14ac:dyDescent="0.2">
      <c r="A41" t="s">
        <v>46</v>
      </c>
      <c r="B41" s="5">
        <v>25000</v>
      </c>
    </row>
    <row r="42" spans="1:4" x14ac:dyDescent="0.2">
      <c r="A42" t="s">
        <v>47</v>
      </c>
      <c r="B42" s="16">
        <f>T12_GPR+T12_Other_Income-B39-B40-B41</f>
        <v>5635272</v>
      </c>
    </row>
    <row r="44" spans="1:4" ht="19" x14ac:dyDescent="0.25">
      <c r="A44" s="33" t="s">
        <v>48</v>
      </c>
      <c r="B44" s="32"/>
      <c r="C44" s="32"/>
      <c r="D44" s="32"/>
    </row>
    <row r="45" spans="1:4" x14ac:dyDescent="0.2">
      <c r="A45" t="s">
        <v>49</v>
      </c>
      <c r="B45" s="5">
        <v>165000</v>
      </c>
    </row>
    <row r="46" spans="1:4" x14ac:dyDescent="0.2">
      <c r="A46" t="s">
        <v>50</v>
      </c>
      <c r="B46" s="5">
        <v>120000</v>
      </c>
    </row>
    <row r="47" spans="1:4" x14ac:dyDescent="0.2">
      <c r="A47" t="s">
        <v>51</v>
      </c>
      <c r="B47" s="5">
        <v>120000</v>
      </c>
    </row>
    <row r="48" spans="1:4" x14ac:dyDescent="0.2">
      <c r="A48" t="s">
        <v>52</v>
      </c>
      <c r="B48" s="5">
        <v>72000</v>
      </c>
    </row>
    <row r="49" spans="1:4" x14ac:dyDescent="0.2">
      <c r="A49" t="s">
        <v>53</v>
      </c>
      <c r="B49" s="5">
        <v>96000</v>
      </c>
    </row>
    <row r="50" spans="1:4" x14ac:dyDescent="0.2">
      <c r="A50" t="s">
        <v>54</v>
      </c>
      <c r="B50" s="5">
        <v>60000</v>
      </c>
    </row>
    <row r="51" spans="1:4" x14ac:dyDescent="0.2">
      <c r="A51" t="s">
        <v>55</v>
      </c>
      <c r="B51" s="5">
        <v>100000</v>
      </c>
    </row>
    <row r="52" spans="1:4" x14ac:dyDescent="0.2">
      <c r="A52" t="s">
        <v>56</v>
      </c>
      <c r="B52" s="5">
        <v>70000</v>
      </c>
    </row>
    <row r="53" spans="1:4" x14ac:dyDescent="0.2">
      <c r="A53" t="s">
        <v>57</v>
      </c>
      <c r="B53" s="7">
        <v>0.04</v>
      </c>
    </row>
    <row r="54" spans="1:4" x14ac:dyDescent="0.2">
      <c r="A54" t="s">
        <v>58</v>
      </c>
      <c r="B54" s="14">
        <f>T12_EGI*Mgmt_Fee_Pct</f>
        <v>225410.88</v>
      </c>
    </row>
    <row r="55" spans="1:4" x14ac:dyDescent="0.2">
      <c r="A55" t="s">
        <v>59</v>
      </c>
      <c r="B55" s="5">
        <v>20000</v>
      </c>
    </row>
    <row r="56" spans="1:4" x14ac:dyDescent="0.2">
      <c r="A56" t="s">
        <v>60</v>
      </c>
      <c r="B56" s="5">
        <v>25000</v>
      </c>
    </row>
    <row r="57" spans="1:4" x14ac:dyDescent="0.2">
      <c r="A57" t="s">
        <v>61</v>
      </c>
      <c r="B57" s="5">
        <v>30000</v>
      </c>
    </row>
    <row r="59" spans="1:4" x14ac:dyDescent="0.2">
      <c r="A59" t="s">
        <v>62</v>
      </c>
      <c r="B59" s="17">
        <f>B45+B46+B47+B48+B49+B50+B51+B52+B54+B55+B56+B57</f>
        <v>1103410.8799999999</v>
      </c>
    </row>
    <row r="60" spans="1:4" x14ac:dyDescent="0.2">
      <c r="A60" t="s">
        <v>63</v>
      </c>
      <c r="B60" s="16">
        <f>T12_EGI-T12_OpEx</f>
        <v>4531861.12</v>
      </c>
    </row>
    <row r="61" spans="1:4" x14ac:dyDescent="0.2">
      <c r="A61" t="s">
        <v>64</v>
      </c>
      <c r="B61" s="18">
        <f>T12_OpEx/T12_EGI</f>
        <v>0.19580436933656439</v>
      </c>
    </row>
    <row r="63" spans="1:4" ht="19" x14ac:dyDescent="0.25">
      <c r="A63" s="33" t="s">
        <v>65</v>
      </c>
      <c r="B63" s="32"/>
      <c r="C63" s="32"/>
      <c r="D63" s="32"/>
    </row>
    <row r="64" spans="1:4" x14ac:dyDescent="0.2">
      <c r="A64" t="s">
        <v>66</v>
      </c>
      <c r="B64" s="14">
        <f>Total_Unit_Reno_Cost</f>
        <v>1960000</v>
      </c>
    </row>
    <row r="65" spans="1:4" x14ac:dyDescent="0.2">
      <c r="A65" t="s">
        <v>67</v>
      </c>
      <c r="B65" s="5">
        <v>25000000</v>
      </c>
    </row>
    <row r="66" spans="1:4" x14ac:dyDescent="0.2">
      <c r="A66" t="s">
        <v>68</v>
      </c>
      <c r="B66" s="7">
        <v>0.1</v>
      </c>
    </row>
    <row r="67" spans="1:4" x14ac:dyDescent="0.2">
      <c r="A67" t="s">
        <v>69</v>
      </c>
      <c r="B67" s="17">
        <f>(Total_Unit_Reno_Cost+Common_Area_Reno)*(1+Reno_Contingency_Pct)</f>
        <v>29656000.000000004</v>
      </c>
    </row>
    <row r="69" spans="1:4" ht="19" x14ac:dyDescent="0.25">
      <c r="A69" s="33" t="s">
        <v>70</v>
      </c>
      <c r="B69" s="32"/>
      <c r="C69" s="32"/>
      <c r="D69" s="32"/>
    </row>
    <row r="70" spans="1:4" x14ac:dyDescent="0.2">
      <c r="A70" t="s">
        <v>71</v>
      </c>
      <c r="B70" s="7">
        <v>0.03</v>
      </c>
    </row>
    <row r="71" spans="1:4" x14ac:dyDescent="0.2">
      <c r="A71" t="s">
        <v>72</v>
      </c>
      <c r="B71" s="7">
        <v>2.5000000000000001E-2</v>
      </c>
    </row>
    <row r="72" spans="1:4" x14ac:dyDescent="0.2">
      <c r="A72" t="s">
        <v>73</v>
      </c>
      <c r="B72" s="7">
        <v>0.03</v>
      </c>
    </row>
    <row r="73" spans="1:4" x14ac:dyDescent="0.2">
      <c r="A73" t="s">
        <v>74</v>
      </c>
      <c r="B73" s="7">
        <v>0.03</v>
      </c>
    </row>
    <row r="74" spans="1:4" x14ac:dyDescent="0.2">
      <c r="A74" t="s">
        <v>75</v>
      </c>
      <c r="B74" s="7">
        <v>0.05</v>
      </c>
    </row>
    <row r="75" spans="1:4" x14ac:dyDescent="0.2">
      <c r="A75" t="s">
        <v>76</v>
      </c>
      <c r="B75" s="5">
        <v>400</v>
      </c>
    </row>
    <row r="77" spans="1:4" ht="19" x14ac:dyDescent="0.25">
      <c r="A77" s="33" t="s">
        <v>77</v>
      </c>
      <c r="B77" s="32"/>
      <c r="C77" s="32"/>
      <c r="D77" s="32"/>
    </row>
    <row r="78" spans="1:4" x14ac:dyDescent="0.2">
      <c r="A78" t="s">
        <v>78</v>
      </c>
      <c r="B78" s="3" t="s">
        <v>79</v>
      </c>
    </row>
    <row r="79" spans="1:4" x14ac:dyDescent="0.2">
      <c r="A79" t="s">
        <v>80</v>
      </c>
      <c r="B79" s="7">
        <v>0.75</v>
      </c>
    </row>
    <row r="80" spans="1:4" x14ac:dyDescent="0.2">
      <c r="A80" t="s">
        <v>81</v>
      </c>
      <c r="B80" s="19">
        <v>6.5000000000000002E-2</v>
      </c>
    </row>
    <row r="81" spans="1:4" x14ac:dyDescent="0.2">
      <c r="A81" t="s">
        <v>82</v>
      </c>
      <c r="B81" s="4">
        <v>30</v>
      </c>
    </row>
    <row r="82" spans="1:4" x14ac:dyDescent="0.2">
      <c r="A82" t="s">
        <v>83</v>
      </c>
      <c r="B82" s="4">
        <v>30</v>
      </c>
    </row>
    <row r="83" spans="1:4" x14ac:dyDescent="0.2">
      <c r="A83" t="s">
        <v>84</v>
      </c>
      <c r="B83" s="7">
        <v>0.01</v>
      </c>
    </row>
    <row r="84" spans="1:4" x14ac:dyDescent="0.2">
      <c r="A84" t="s">
        <v>85</v>
      </c>
      <c r="B84" s="5">
        <v>25000</v>
      </c>
    </row>
    <row r="86" spans="1:4" x14ac:dyDescent="0.2">
      <c r="A86" t="s">
        <v>86</v>
      </c>
      <c r="B86" s="16">
        <f>Purchase_Price*LTV</f>
        <v>11250000</v>
      </c>
    </row>
    <row r="88" spans="1:4" ht="19" x14ac:dyDescent="0.25">
      <c r="A88" s="33" t="s">
        <v>87</v>
      </c>
      <c r="B88" s="32"/>
      <c r="C88" s="32"/>
      <c r="D88" s="32"/>
    </row>
    <row r="89" spans="1:4" x14ac:dyDescent="0.2">
      <c r="A89" t="s">
        <v>88</v>
      </c>
      <c r="B89" s="4">
        <v>10</v>
      </c>
    </row>
    <row r="90" spans="1:4" x14ac:dyDescent="0.2">
      <c r="A90" t="s">
        <v>89</v>
      </c>
      <c r="B90" s="19">
        <v>0.06</v>
      </c>
    </row>
    <row r="91" spans="1:4" x14ac:dyDescent="0.2">
      <c r="A91" t="s">
        <v>90</v>
      </c>
      <c r="B91" s="7">
        <v>0.04</v>
      </c>
    </row>
    <row r="93" spans="1:4" ht="19" x14ac:dyDescent="0.25">
      <c r="A93" s="33" t="s">
        <v>91</v>
      </c>
      <c r="B93" s="32"/>
      <c r="C93" s="32"/>
      <c r="D93" s="32"/>
    </row>
    <row r="94" spans="1:4" x14ac:dyDescent="0.2">
      <c r="A94" t="s">
        <v>92</v>
      </c>
      <c r="B94" s="19">
        <v>1.0999999999999999E-2</v>
      </c>
    </row>
    <row r="95" spans="1:4" x14ac:dyDescent="0.2">
      <c r="A95" t="s">
        <v>93</v>
      </c>
      <c r="B95" s="7">
        <v>0.02</v>
      </c>
    </row>
    <row r="96" spans="1:4" x14ac:dyDescent="0.2">
      <c r="A96" t="s">
        <v>94</v>
      </c>
      <c r="B96" s="5">
        <v>0</v>
      </c>
    </row>
  </sheetData>
  <mergeCells count="11">
    <mergeCell ref="A93:D93"/>
    <mergeCell ref="A44:D44"/>
    <mergeCell ref="A1:D1"/>
    <mergeCell ref="A77:D77"/>
    <mergeCell ref="A69:D69"/>
    <mergeCell ref="A88:D88"/>
    <mergeCell ref="A3:D3"/>
    <mergeCell ref="A29:D29"/>
    <mergeCell ref="A15:D15"/>
    <mergeCell ref="A22:F22"/>
    <mergeCell ref="A63:D6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workbookViewId="0"/>
  </sheetViews>
  <sheetFormatPr baseColWidth="10" defaultColWidth="8.83203125" defaultRowHeight="15" x14ac:dyDescent="0.2"/>
  <cols>
    <col min="1" max="1" width="35" customWidth="1"/>
    <col min="2" max="2" width="20" customWidth="1"/>
    <col min="3" max="3" width="15" customWidth="1"/>
  </cols>
  <sheetData>
    <row r="1" spans="1:3" ht="24" x14ac:dyDescent="0.3">
      <c r="A1" s="31" t="s">
        <v>95</v>
      </c>
      <c r="B1" s="32"/>
      <c r="C1" s="32"/>
    </row>
    <row r="3" spans="1:3" ht="19" x14ac:dyDescent="0.25">
      <c r="A3" s="33" t="s">
        <v>96</v>
      </c>
      <c r="B3" s="32"/>
      <c r="C3" s="32"/>
    </row>
    <row r="4" spans="1:3" x14ac:dyDescent="0.2">
      <c r="A4" t="s">
        <v>97</v>
      </c>
      <c r="B4" s="20">
        <f>Loan_Amount</f>
        <v>11250000</v>
      </c>
    </row>
    <row r="5" spans="1:3" x14ac:dyDescent="0.2">
      <c r="A5" t="s">
        <v>98</v>
      </c>
      <c r="B5" s="20">
        <f>B9-B4</f>
        <v>-11250000</v>
      </c>
    </row>
    <row r="6" spans="1:3" x14ac:dyDescent="0.2">
      <c r="A6" s="15" t="s">
        <v>99</v>
      </c>
      <c r="B6" s="21">
        <f>B4+B5</f>
        <v>0</v>
      </c>
    </row>
    <row r="8" spans="1:3" ht="19" x14ac:dyDescent="0.25">
      <c r="A8" s="33" t="s">
        <v>100</v>
      </c>
      <c r="B8" s="32"/>
      <c r="C8" s="32"/>
    </row>
    <row r="9" spans="1:3" x14ac:dyDescent="0.2">
      <c r="A9" s="15" t="s">
        <v>101</v>
      </c>
    </row>
    <row r="10" spans="1:3" x14ac:dyDescent="0.2">
      <c r="A10" t="s">
        <v>102</v>
      </c>
      <c r="B10" s="20">
        <f>Purchase_Price</f>
        <v>15000000</v>
      </c>
    </row>
    <row r="11" spans="1:3" x14ac:dyDescent="0.2">
      <c r="A11" t="s">
        <v>103</v>
      </c>
      <c r="B11" s="20">
        <f>Purchase_Price*ASSUMPTIONS!B18</f>
        <v>300000</v>
      </c>
    </row>
    <row r="12" spans="1:3" x14ac:dyDescent="0.2">
      <c r="A12" t="s">
        <v>104</v>
      </c>
      <c r="B12" s="20">
        <f>ASSUMPTIONS!B19</f>
        <v>0.2</v>
      </c>
    </row>
    <row r="13" spans="1:3" x14ac:dyDescent="0.2">
      <c r="A13" t="s">
        <v>105</v>
      </c>
      <c r="B13" s="22">
        <f>SUM(B10:B12)</f>
        <v>15300000.199999999</v>
      </c>
    </row>
    <row r="15" spans="1:3" x14ac:dyDescent="0.2">
      <c r="A15" s="15" t="s">
        <v>106</v>
      </c>
    </row>
    <row r="16" spans="1:3" x14ac:dyDescent="0.2">
      <c r="A16" t="s">
        <v>107</v>
      </c>
      <c r="B16" s="20">
        <f>Total_Renovation_Budget</f>
        <v>29656000.000000004</v>
      </c>
    </row>
    <row r="18" spans="1:3" x14ac:dyDescent="0.2">
      <c r="A18" s="15" t="s">
        <v>108</v>
      </c>
    </row>
    <row r="19" spans="1:3" x14ac:dyDescent="0.2">
      <c r="A19" t="s">
        <v>109</v>
      </c>
      <c r="B19" s="20">
        <f>Loan_Amount*ASSUMPTIONS!B95</f>
        <v>225000</v>
      </c>
    </row>
    <row r="20" spans="1:3" x14ac:dyDescent="0.2">
      <c r="A20" t="s">
        <v>110</v>
      </c>
      <c r="B20" s="20">
        <f>ASSUMPTIONS!B96</f>
        <v>0</v>
      </c>
    </row>
    <row r="21" spans="1:3" x14ac:dyDescent="0.2">
      <c r="A21" t="s">
        <v>111</v>
      </c>
      <c r="B21" s="22">
        <f>SUM(B19:B20)</f>
        <v>225000</v>
      </c>
    </row>
    <row r="23" spans="1:3" x14ac:dyDescent="0.2">
      <c r="A23" s="15" t="s">
        <v>112</v>
      </c>
      <c r="B23" s="21">
        <f>B13+B16+B21</f>
        <v>45181000.200000003</v>
      </c>
    </row>
    <row r="25" spans="1:3" ht="19" x14ac:dyDescent="0.25">
      <c r="A25" s="33" t="s">
        <v>113</v>
      </c>
      <c r="B25" s="32"/>
      <c r="C25" s="32"/>
    </row>
    <row r="26" spans="1:3" x14ac:dyDescent="0.2">
      <c r="A26" t="s">
        <v>114</v>
      </c>
      <c r="B26" s="20">
        <f>Purchase_Price/Total_Units</f>
        <v>75000</v>
      </c>
    </row>
    <row r="27" spans="1:3" x14ac:dyDescent="0.2">
      <c r="A27" t="s">
        <v>115</v>
      </c>
      <c r="B27" s="20">
        <f>Total_Renovation_Budget/Total_Units</f>
        <v>148280.00000000003</v>
      </c>
    </row>
    <row r="28" spans="1:3" x14ac:dyDescent="0.2">
      <c r="A28" t="s">
        <v>116</v>
      </c>
      <c r="B28" s="22">
        <f>Total_Uses/Total_Units</f>
        <v>225905.00100000002</v>
      </c>
    </row>
  </sheetData>
  <mergeCells count="4">
    <mergeCell ref="A1:C1"/>
    <mergeCell ref="A25:C25"/>
    <mergeCell ref="A8:C8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0"/>
  <sheetViews>
    <sheetView workbookViewId="0"/>
  </sheetViews>
  <sheetFormatPr baseColWidth="10" defaultColWidth="8.83203125" defaultRowHeight="15" x14ac:dyDescent="0.2"/>
  <cols>
    <col min="1" max="1" width="8" customWidth="1"/>
    <col min="2" max="2" width="12" customWidth="1"/>
    <col min="3" max="9" width="15" customWidth="1"/>
  </cols>
  <sheetData>
    <row r="1" spans="1:9" ht="24" x14ac:dyDescent="0.3">
      <c r="A1" s="31" t="s">
        <v>117</v>
      </c>
      <c r="B1" s="32"/>
      <c r="C1" s="32"/>
      <c r="D1" s="32"/>
      <c r="E1" s="32"/>
      <c r="F1" s="32"/>
      <c r="G1" s="32"/>
      <c r="H1" s="32"/>
      <c r="I1" s="32"/>
    </row>
    <row r="3" spans="1:9" x14ac:dyDescent="0.2">
      <c r="A3" t="s">
        <v>118</v>
      </c>
      <c r="B3" s="20">
        <f>Loan_Amount</f>
        <v>11250000</v>
      </c>
    </row>
    <row r="4" spans="1:9" x14ac:dyDescent="0.2">
      <c r="A4" t="s">
        <v>119</v>
      </c>
      <c r="B4" s="23">
        <f>Interest_Rate</f>
        <v>6.5000000000000002E-2</v>
      </c>
    </row>
    <row r="5" spans="1:9" x14ac:dyDescent="0.2">
      <c r="A5" t="s">
        <v>120</v>
      </c>
      <c r="B5" s="24">
        <f>Amortization_Years</f>
        <v>30</v>
      </c>
      <c r="C5" t="s">
        <v>121</v>
      </c>
    </row>
    <row r="6" spans="1:9" x14ac:dyDescent="0.2">
      <c r="A6" t="s">
        <v>122</v>
      </c>
      <c r="B6" s="20">
        <f>-PMT(Interest_Rate/12,Amortization_Years*12,Loan_Amount)</f>
        <v>71107.652642958434</v>
      </c>
    </row>
    <row r="7" spans="1:9" x14ac:dyDescent="0.2">
      <c r="A7" t="s">
        <v>123</v>
      </c>
      <c r="B7" s="20">
        <f>Monthly_Payment*12</f>
        <v>853291.83171550115</v>
      </c>
    </row>
    <row r="10" spans="1:9" x14ac:dyDescent="0.2">
      <c r="A10" s="8" t="s">
        <v>124</v>
      </c>
      <c r="B10" s="8" t="s">
        <v>125</v>
      </c>
      <c r="C10" s="8" t="s">
        <v>126</v>
      </c>
      <c r="D10" s="8" t="s">
        <v>127</v>
      </c>
      <c r="E10" s="8" t="s">
        <v>128</v>
      </c>
      <c r="F10" s="8" t="s">
        <v>129</v>
      </c>
      <c r="G10" s="8" t="s">
        <v>130</v>
      </c>
      <c r="H10" s="8" t="s">
        <v>131</v>
      </c>
      <c r="I10" s="8" t="s">
        <v>132</v>
      </c>
    </row>
    <row r="11" spans="1:9" x14ac:dyDescent="0.2">
      <c r="A11" s="24">
        <v>1</v>
      </c>
      <c r="B11" s="24">
        <v>1</v>
      </c>
      <c r="C11" s="20">
        <f>Loan_Amount</f>
        <v>11250000</v>
      </c>
      <c r="D11" s="20">
        <f t="shared" ref="D11:D74" si="0">Monthly_Payment-E11</f>
        <v>10170.152642958434</v>
      </c>
      <c r="E11" s="20">
        <f t="shared" ref="E11:E74" si="1">C11*Interest_Rate/12</f>
        <v>60937.5</v>
      </c>
      <c r="F11" s="20">
        <f t="shared" ref="F11:F74" si="2">Monthly_Payment</f>
        <v>71107.652642958434</v>
      </c>
      <c r="G11" s="20">
        <f t="shared" ref="G11:G74" si="3">C11-D11</f>
        <v>11239829.847357042</v>
      </c>
      <c r="H11" s="20">
        <f>D11</f>
        <v>10170.152642958434</v>
      </c>
      <c r="I11" s="20">
        <f>E11</f>
        <v>60937.5</v>
      </c>
    </row>
    <row r="12" spans="1:9" x14ac:dyDescent="0.2">
      <c r="A12" s="24">
        <v>1</v>
      </c>
      <c r="B12" s="24">
        <v>2</v>
      </c>
      <c r="C12" s="20">
        <f t="shared" ref="C12:C75" si="4">G11</f>
        <v>11239829.847357042</v>
      </c>
      <c r="D12" s="20">
        <f t="shared" si="0"/>
        <v>10225.240969774452</v>
      </c>
      <c r="E12" s="20">
        <f t="shared" si="1"/>
        <v>60882.411673183982</v>
      </c>
      <c r="F12" s="20">
        <f t="shared" si="2"/>
        <v>71107.652642958434</v>
      </c>
      <c r="G12" s="20">
        <f t="shared" si="3"/>
        <v>11229604.606387267</v>
      </c>
      <c r="H12" s="20">
        <f t="shared" ref="H12:H75" si="5">H11+D12</f>
        <v>20395.393612732885</v>
      </c>
      <c r="I12" s="20">
        <f t="shared" ref="I12:I75" si="6">I11+E12</f>
        <v>121819.91167318399</v>
      </c>
    </row>
    <row r="13" spans="1:9" x14ac:dyDescent="0.2">
      <c r="A13" s="24">
        <v>1</v>
      </c>
      <c r="B13" s="24">
        <v>3</v>
      </c>
      <c r="C13" s="20">
        <f t="shared" si="4"/>
        <v>11229604.606387267</v>
      </c>
      <c r="D13" s="20">
        <f t="shared" si="0"/>
        <v>10280.627691694062</v>
      </c>
      <c r="E13" s="20">
        <f t="shared" si="1"/>
        <v>60827.024951264371</v>
      </c>
      <c r="F13" s="20">
        <f t="shared" si="2"/>
        <v>71107.652642958434</v>
      </c>
      <c r="G13" s="20">
        <f t="shared" si="3"/>
        <v>11219323.978695573</v>
      </c>
      <c r="H13" s="20">
        <f t="shared" si="5"/>
        <v>30676.021304426948</v>
      </c>
      <c r="I13" s="20">
        <f t="shared" si="6"/>
        <v>182646.93662444837</v>
      </c>
    </row>
    <row r="14" spans="1:9" x14ac:dyDescent="0.2">
      <c r="A14" s="24">
        <v>1</v>
      </c>
      <c r="B14" s="24">
        <v>4</v>
      </c>
      <c r="C14" s="20">
        <f t="shared" si="4"/>
        <v>11219323.978695573</v>
      </c>
      <c r="D14" s="20">
        <f t="shared" si="0"/>
        <v>10336.314425024073</v>
      </c>
      <c r="E14" s="20">
        <f t="shared" si="1"/>
        <v>60771.338217934361</v>
      </c>
      <c r="F14" s="20">
        <f t="shared" si="2"/>
        <v>71107.652642958434</v>
      </c>
      <c r="G14" s="20">
        <f t="shared" si="3"/>
        <v>11208987.66427055</v>
      </c>
      <c r="H14" s="20">
        <f t="shared" si="5"/>
        <v>41012.335729451021</v>
      </c>
      <c r="I14" s="20">
        <f t="shared" si="6"/>
        <v>243418.27484238273</v>
      </c>
    </row>
    <row r="15" spans="1:9" x14ac:dyDescent="0.2">
      <c r="A15" s="24">
        <v>1</v>
      </c>
      <c r="B15" s="24">
        <v>5</v>
      </c>
      <c r="C15" s="20">
        <f t="shared" si="4"/>
        <v>11208987.66427055</v>
      </c>
      <c r="D15" s="20">
        <f t="shared" si="0"/>
        <v>10392.30279482629</v>
      </c>
      <c r="E15" s="20">
        <f t="shared" si="1"/>
        <v>60715.349848132144</v>
      </c>
      <c r="F15" s="20">
        <f t="shared" si="2"/>
        <v>71107.652642958434</v>
      </c>
      <c r="G15" s="20">
        <f t="shared" si="3"/>
        <v>11198595.361475723</v>
      </c>
      <c r="H15" s="20">
        <f t="shared" si="5"/>
        <v>51404.63852427731</v>
      </c>
      <c r="I15" s="20">
        <f t="shared" si="6"/>
        <v>304133.62469051487</v>
      </c>
    </row>
    <row r="16" spans="1:9" x14ac:dyDescent="0.2">
      <c r="A16" s="24">
        <v>1</v>
      </c>
      <c r="B16" s="24">
        <v>6</v>
      </c>
      <c r="C16" s="20">
        <f t="shared" si="4"/>
        <v>11198595.361475723</v>
      </c>
      <c r="D16" s="20">
        <f t="shared" si="0"/>
        <v>10448.594434964929</v>
      </c>
      <c r="E16" s="20">
        <f t="shared" si="1"/>
        <v>60659.058207993505</v>
      </c>
      <c r="F16" s="20">
        <f t="shared" si="2"/>
        <v>71107.652642958434</v>
      </c>
      <c r="G16" s="20">
        <f t="shared" si="3"/>
        <v>11188146.767040757</v>
      </c>
      <c r="H16" s="20">
        <f t="shared" si="5"/>
        <v>61853.232959242239</v>
      </c>
      <c r="I16" s="20">
        <f t="shared" si="6"/>
        <v>364792.68289850838</v>
      </c>
    </row>
    <row r="17" spans="1:9" x14ac:dyDescent="0.2">
      <c r="A17" s="24">
        <v>1</v>
      </c>
      <c r="B17" s="24">
        <v>7</v>
      </c>
      <c r="C17" s="20">
        <f t="shared" si="4"/>
        <v>11188146.767040757</v>
      </c>
      <c r="D17" s="20">
        <f t="shared" si="0"/>
        <v>10505.190988154332</v>
      </c>
      <c r="E17" s="20">
        <f t="shared" si="1"/>
        <v>60602.461654804101</v>
      </c>
      <c r="F17" s="20">
        <f t="shared" si="2"/>
        <v>71107.652642958434</v>
      </c>
      <c r="G17" s="20">
        <f t="shared" si="3"/>
        <v>11177641.576052602</v>
      </c>
      <c r="H17" s="20">
        <f t="shared" si="5"/>
        <v>72358.423947396572</v>
      </c>
      <c r="I17" s="20">
        <f t="shared" si="6"/>
        <v>425395.14455331251</v>
      </c>
    </row>
    <row r="18" spans="1:9" x14ac:dyDescent="0.2">
      <c r="A18" s="24">
        <v>1</v>
      </c>
      <c r="B18" s="24">
        <v>8</v>
      </c>
      <c r="C18" s="20">
        <f t="shared" si="4"/>
        <v>11177641.576052602</v>
      </c>
      <c r="D18" s="20">
        <f t="shared" si="0"/>
        <v>10562.094106006836</v>
      </c>
      <c r="E18" s="20">
        <f t="shared" si="1"/>
        <v>60545.558536951597</v>
      </c>
      <c r="F18" s="20">
        <f t="shared" si="2"/>
        <v>71107.652642958434</v>
      </c>
      <c r="G18" s="20">
        <f t="shared" si="3"/>
        <v>11167079.481946595</v>
      </c>
      <c r="H18" s="20">
        <f t="shared" si="5"/>
        <v>82920.518053403415</v>
      </c>
      <c r="I18" s="20">
        <f t="shared" si="6"/>
        <v>485940.70309026411</v>
      </c>
    </row>
    <row r="19" spans="1:9" x14ac:dyDescent="0.2">
      <c r="A19" s="24">
        <v>1</v>
      </c>
      <c r="B19" s="24">
        <v>9</v>
      </c>
      <c r="C19" s="20">
        <f t="shared" si="4"/>
        <v>11167079.481946595</v>
      </c>
      <c r="D19" s="20">
        <f t="shared" si="0"/>
        <v>10619.305449081046</v>
      </c>
      <c r="E19" s="20">
        <f t="shared" si="1"/>
        <v>60488.347193877387</v>
      </c>
      <c r="F19" s="20">
        <f t="shared" si="2"/>
        <v>71107.652642958434</v>
      </c>
      <c r="G19" s="20">
        <f t="shared" si="3"/>
        <v>11156460.176497513</v>
      </c>
      <c r="H19" s="20">
        <f t="shared" si="5"/>
        <v>93539.823502484462</v>
      </c>
      <c r="I19" s="20">
        <f t="shared" si="6"/>
        <v>546429.05028414144</v>
      </c>
    </row>
    <row r="20" spans="1:9" x14ac:dyDescent="0.2">
      <c r="A20" s="24">
        <v>1</v>
      </c>
      <c r="B20" s="24">
        <v>10</v>
      </c>
      <c r="C20" s="20">
        <f t="shared" si="4"/>
        <v>11156460.176497513</v>
      </c>
      <c r="D20" s="20">
        <f t="shared" si="0"/>
        <v>10676.826686930239</v>
      </c>
      <c r="E20" s="20">
        <f t="shared" si="1"/>
        <v>60430.825956028195</v>
      </c>
      <c r="F20" s="20">
        <f t="shared" si="2"/>
        <v>71107.652642958434</v>
      </c>
      <c r="G20" s="20">
        <f t="shared" si="3"/>
        <v>11145783.349810584</v>
      </c>
      <c r="H20" s="20">
        <f t="shared" si="5"/>
        <v>104216.65018941471</v>
      </c>
      <c r="I20" s="20">
        <f t="shared" si="6"/>
        <v>606859.87624016963</v>
      </c>
    </row>
    <row r="21" spans="1:9" x14ac:dyDescent="0.2">
      <c r="A21" s="24">
        <v>1</v>
      </c>
      <c r="B21" s="24">
        <v>11</v>
      </c>
      <c r="C21" s="20">
        <f t="shared" si="4"/>
        <v>11145783.349810584</v>
      </c>
      <c r="D21" s="20">
        <f t="shared" si="0"/>
        <v>10734.659498151108</v>
      </c>
      <c r="E21" s="20">
        <f t="shared" si="1"/>
        <v>60372.993144807326</v>
      </c>
      <c r="F21" s="20">
        <f t="shared" si="2"/>
        <v>71107.652642958434</v>
      </c>
      <c r="G21" s="20">
        <f t="shared" si="3"/>
        <v>11135048.690312432</v>
      </c>
      <c r="H21" s="20">
        <f t="shared" si="5"/>
        <v>114951.30968756581</v>
      </c>
      <c r="I21" s="20">
        <f t="shared" si="6"/>
        <v>667232.86938497692</v>
      </c>
    </row>
    <row r="22" spans="1:9" x14ac:dyDescent="0.2">
      <c r="A22" s="24">
        <v>1</v>
      </c>
      <c r="B22" s="24">
        <v>12</v>
      </c>
      <c r="C22" s="20">
        <f t="shared" si="4"/>
        <v>11135048.690312432</v>
      </c>
      <c r="D22" s="20">
        <f t="shared" si="0"/>
        <v>10792.805570432756</v>
      </c>
      <c r="E22" s="20">
        <f t="shared" si="1"/>
        <v>60314.847072525678</v>
      </c>
      <c r="F22" s="20">
        <f t="shared" si="2"/>
        <v>71107.652642958434</v>
      </c>
      <c r="G22" s="20">
        <f t="shared" si="3"/>
        <v>11124255.884741999</v>
      </c>
      <c r="H22" s="20">
        <f t="shared" si="5"/>
        <v>125744.11525799856</v>
      </c>
      <c r="I22" s="20">
        <f t="shared" si="6"/>
        <v>727547.71645750257</v>
      </c>
    </row>
    <row r="23" spans="1:9" x14ac:dyDescent="0.2">
      <c r="A23" s="24">
        <v>2</v>
      </c>
      <c r="B23" s="24">
        <v>1</v>
      </c>
      <c r="C23" s="20">
        <f t="shared" si="4"/>
        <v>11124255.884741999</v>
      </c>
      <c r="D23" s="20">
        <f t="shared" si="0"/>
        <v>10851.266600605937</v>
      </c>
      <c r="E23" s="20">
        <f t="shared" si="1"/>
        <v>60256.386042352497</v>
      </c>
      <c r="F23" s="20">
        <f t="shared" si="2"/>
        <v>71107.652642958434</v>
      </c>
      <c r="G23" s="20">
        <f t="shared" si="3"/>
        <v>11113404.618141394</v>
      </c>
      <c r="H23" s="20">
        <f t="shared" si="5"/>
        <v>136595.38185860449</v>
      </c>
      <c r="I23" s="20">
        <f t="shared" si="6"/>
        <v>787804.1024998551</v>
      </c>
    </row>
    <row r="24" spans="1:9" x14ac:dyDescent="0.2">
      <c r="A24" s="24">
        <v>2</v>
      </c>
      <c r="B24" s="24">
        <v>2</v>
      </c>
      <c r="C24" s="20">
        <f t="shared" si="4"/>
        <v>11113404.618141394</v>
      </c>
      <c r="D24" s="20">
        <f t="shared" si="0"/>
        <v>10910.044294692554</v>
      </c>
      <c r="E24" s="20">
        <f t="shared" si="1"/>
        <v>60197.60834826588</v>
      </c>
      <c r="F24" s="20">
        <f t="shared" si="2"/>
        <v>71107.652642958434</v>
      </c>
      <c r="G24" s="20">
        <f t="shared" si="3"/>
        <v>11102494.573846702</v>
      </c>
      <c r="H24" s="20">
        <f t="shared" si="5"/>
        <v>147505.42615329704</v>
      </c>
      <c r="I24" s="20">
        <f t="shared" si="6"/>
        <v>848001.71084812097</v>
      </c>
    </row>
    <row r="25" spans="1:9" x14ac:dyDescent="0.2">
      <c r="A25" s="24">
        <v>2</v>
      </c>
      <c r="B25" s="24">
        <v>3</v>
      </c>
      <c r="C25" s="20">
        <f t="shared" si="4"/>
        <v>11102494.573846702</v>
      </c>
      <c r="D25" s="20">
        <f t="shared" si="0"/>
        <v>10969.140367955471</v>
      </c>
      <c r="E25" s="20">
        <f t="shared" si="1"/>
        <v>60138.512275002962</v>
      </c>
      <c r="F25" s="20">
        <f t="shared" si="2"/>
        <v>71107.652642958434</v>
      </c>
      <c r="G25" s="20">
        <f t="shared" si="3"/>
        <v>11091525.433478747</v>
      </c>
      <c r="H25" s="20">
        <f t="shared" si="5"/>
        <v>158474.56652125251</v>
      </c>
      <c r="I25" s="20">
        <f t="shared" si="6"/>
        <v>908140.22312312399</v>
      </c>
    </row>
    <row r="26" spans="1:9" x14ac:dyDescent="0.2">
      <c r="A26" s="24">
        <v>2</v>
      </c>
      <c r="B26" s="24">
        <v>4</v>
      </c>
      <c r="C26" s="20">
        <f t="shared" si="4"/>
        <v>11091525.433478747</v>
      </c>
      <c r="D26" s="20">
        <f t="shared" si="0"/>
        <v>11028.556544948558</v>
      </c>
      <c r="E26" s="20">
        <f t="shared" si="1"/>
        <v>60079.096098009875</v>
      </c>
      <c r="F26" s="20">
        <f t="shared" si="2"/>
        <v>71107.652642958434</v>
      </c>
      <c r="G26" s="20">
        <f t="shared" si="3"/>
        <v>11080496.876933798</v>
      </c>
      <c r="H26" s="20">
        <f t="shared" si="5"/>
        <v>169503.12306620105</v>
      </c>
      <c r="I26" s="20">
        <f t="shared" si="6"/>
        <v>968219.31922113383</v>
      </c>
    </row>
    <row r="27" spans="1:9" x14ac:dyDescent="0.2">
      <c r="A27" s="24">
        <v>2</v>
      </c>
      <c r="B27" s="24">
        <v>5</v>
      </c>
      <c r="C27" s="20">
        <f t="shared" si="4"/>
        <v>11080496.876933798</v>
      </c>
      <c r="D27" s="20">
        <f t="shared" si="0"/>
        <v>11088.294559567024</v>
      </c>
      <c r="E27" s="20">
        <f t="shared" si="1"/>
        <v>60019.358083391409</v>
      </c>
      <c r="F27" s="20">
        <f t="shared" si="2"/>
        <v>71107.652642958434</v>
      </c>
      <c r="G27" s="20">
        <f t="shared" si="3"/>
        <v>11069408.582374232</v>
      </c>
      <c r="H27" s="20">
        <f t="shared" si="5"/>
        <v>180591.41762576808</v>
      </c>
      <c r="I27" s="20">
        <f t="shared" si="6"/>
        <v>1028238.6773045253</v>
      </c>
    </row>
    <row r="28" spans="1:9" x14ac:dyDescent="0.2">
      <c r="A28" s="24">
        <v>2</v>
      </c>
      <c r="B28" s="24">
        <v>6</v>
      </c>
      <c r="C28" s="20">
        <f t="shared" si="4"/>
        <v>11069408.582374232</v>
      </c>
      <c r="D28" s="20">
        <f t="shared" si="0"/>
        <v>11148.356155098016</v>
      </c>
      <c r="E28" s="20">
        <f t="shared" si="1"/>
        <v>59959.296487860418</v>
      </c>
      <c r="F28" s="20">
        <f t="shared" si="2"/>
        <v>71107.652642958434</v>
      </c>
      <c r="G28" s="20">
        <f t="shared" si="3"/>
        <v>11058260.226219134</v>
      </c>
      <c r="H28" s="20">
        <f t="shared" si="5"/>
        <v>191739.77378086609</v>
      </c>
      <c r="I28" s="20">
        <f t="shared" si="6"/>
        <v>1088197.9737923858</v>
      </c>
    </row>
    <row r="29" spans="1:9" x14ac:dyDescent="0.2">
      <c r="A29" s="24">
        <v>2</v>
      </c>
      <c r="B29" s="24">
        <v>7</v>
      </c>
      <c r="C29" s="20">
        <f t="shared" si="4"/>
        <v>11058260.226219134</v>
      </c>
      <c r="D29" s="20">
        <f t="shared" si="0"/>
        <v>11208.743084271453</v>
      </c>
      <c r="E29" s="20">
        <f t="shared" si="1"/>
        <v>59898.909558686981</v>
      </c>
      <c r="F29" s="20">
        <f t="shared" si="2"/>
        <v>71107.652642958434</v>
      </c>
      <c r="G29" s="20">
        <f t="shared" si="3"/>
        <v>11047051.483134862</v>
      </c>
      <c r="H29" s="20">
        <f t="shared" si="5"/>
        <v>202948.51686513756</v>
      </c>
      <c r="I29" s="20">
        <f t="shared" si="6"/>
        <v>1148096.8833510727</v>
      </c>
    </row>
    <row r="30" spans="1:9" x14ac:dyDescent="0.2">
      <c r="A30" s="24">
        <v>2</v>
      </c>
      <c r="B30" s="24">
        <v>8</v>
      </c>
      <c r="C30" s="20">
        <f t="shared" si="4"/>
        <v>11047051.483134862</v>
      </c>
      <c r="D30" s="20">
        <f t="shared" si="0"/>
        <v>11269.457109311261</v>
      </c>
      <c r="E30" s="20">
        <f t="shared" si="1"/>
        <v>59838.195533647173</v>
      </c>
      <c r="F30" s="20">
        <f t="shared" si="2"/>
        <v>71107.652642958434</v>
      </c>
      <c r="G30" s="20">
        <f t="shared" si="3"/>
        <v>11035782.02602555</v>
      </c>
      <c r="H30" s="20">
        <f t="shared" si="5"/>
        <v>214217.9739744488</v>
      </c>
      <c r="I30" s="20">
        <f t="shared" si="6"/>
        <v>1207935.0788847199</v>
      </c>
    </row>
    <row r="31" spans="1:9" x14ac:dyDescent="0.2">
      <c r="A31" s="24">
        <v>2</v>
      </c>
      <c r="B31" s="24">
        <v>9</v>
      </c>
      <c r="C31" s="20">
        <f t="shared" si="4"/>
        <v>11035782.02602555</v>
      </c>
      <c r="D31" s="20">
        <f t="shared" si="0"/>
        <v>11330.5000019867</v>
      </c>
      <c r="E31" s="20">
        <f t="shared" si="1"/>
        <v>59777.152640971733</v>
      </c>
      <c r="F31" s="20">
        <f t="shared" si="2"/>
        <v>71107.652642958434</v>
      </c>
      <c r="G31" s="20">
        <f t="shared" si="3"/>
        <v>11024451.526023563</v>
      </c>
      <c r="H31" s="20">
        <f t="shared" si="5"/>
        <v>225548.47397643549</v>
      </c>
      <c r="I31" s="20">
        <f t="shared" si="6"/>
        <v>1267712.2315256917</v>
      </c>
    </row>
    <row r="32" spans="1:9" x14ac:dyDescent="0.2">
      <c r="A32" s="24">
        <v>2</v>
      </c>
      <c r="B32" s="24">
        <v>10</v>
      </c>
      <c r="C32" s="20">
        <f t="shared" si="4"/>
        <v>11024451.526023563</v>
      </c>
      <c r="D32" s="20">
        <f t="shared" si="0"/>
        <v>11391.873543664129</v>
      </c>
      <c r="E32" s="20">
        <f t="shared" si="1"/>
        <v>59715.779099294305</v>
      </c>
      <c r="F32" s="20">
        <f t="shared" si="2"/>
        <v>71107.652642958434</v>
      </c>
      <c r="G32" s="20">
        <f t="shared" si="3"/>
        <v>11013059.652479898</v>
      </c>
      <c r="H32" s="20">
        <f t="shared" si="5"/>
        <v>236940.3475200996</v>
      </c>
      <c r="I32" s="20">
        <f t="shared" si="6"/>
        <v>1327428.0106249859</v>
      </c>
    </row>
    <row r="33" spans="1:9" x14ac:dyDescent="0.2">
      <c r="A33" s="24">
        <v>2</v>
      </c>
      <c r="B33" s="24">
        <v>11</v>
      </c>
      <c r="C33" s="20">
        <f t="shared" si="4"/>
        <v>11013059.652479898</v>
      </c>
      <c r="D33" s="20">
        <f t="shared" si="0"/>
        <v>11453.579525358982</v>
      </c>
      <c r="E33" s="20">
        <f t="shared" si="1"/>
        <v>59654.073117599452</v>
      </c>
      <c r="F33" s="20">
        <f t="shared" si="2"/>
        <v>71107.652642958434</v>
      </c>
      <c r="G33" s="20">
        <f t="shared" si="3"/>
        <v>11001606.072954539</v>
      </c>
      <c r="H33" s="20">
        <f t="shared" si="5"/>
        <v>248393.92704545858</v>
      </c>
      <c r="I33" s="20">
        <f t="shared" si="6"/>
        <v>1387082.0837425853</v>
      </c>
    </row>
    <row r="34" spans="1:9" x14ac:dyDescent="0.2">
      <c r="A34" s="24">
        <v>2</v>
      </c>
      <c r="B34" s="24">
        <v>12</v>
      </c>
      <c r="C34" s="20">
        <f t="shared" si="4"/>
        <v>11001606.072954539</v>
      </c>
      <c r="D34" s="20">
        <f t="shared" si="0"/>
        <v>11515.619747788012</v>
      </c>
      <c r="E34" s="20">
        <f t="shared" si="1"/>
        <v>59592.032895170421</v>
      </c>
      <c r="F34" s="20">
        <f t="shared" si="2"/>
        <v>71107.652642958434</v>
      </c>
      <c r="G34" s="20">
        <f t="shared" si="3"/>
        <v>10990090.453206751</v>
      </c>
      <c r="H34" s="20">
        <f t="shared" si="5"/>
        <v>259909.54679324658</v>
      </c>
      <c r="I34" s="20">
        <f t="shared" si="6"/>
        <v>1446674.1166377557</v>
      </c>
    </row>
    <row r="35" spans="1:9" x14ac:dyDescent="0.2">
      <c r="A35" s="24">
        <v>3</v>
      </c>
      <c r="B35" s="24">
        <v>1</v>
      </c>
      <c r="C35" s="20">
        <f t="shared" si="4"/>
        <v>10990090.453206751</v>
      </c>
      <c r="D35" s="20">
        <f t="shared" si="0"/>
        <v>11577.996021421866</v>
      </c>
      <c r="E35" s="20">
        <f t="shared" si="1"/>
        <v>59529.656621536567</v>
      </c>
      <c r="F35" s="20">
        <f t="shared" si="2"/>
        <v>71107.652642958434</v>
      </c>
      <c r="G35" s="20">
        <f t="shared" si="3"/>
        <v>10978512.45718533</v>
      </c>
      <c r="H35" s="20">
        <f t="shared" si="5"/>
        <v>271487.54281466844</v>
      </c>
      <c r="I35" s="20">
        <f t="shared" si="6"/>
        <v>1506203.7732592921</v>
      </c>
    </row>
    <row r="36" spans="1:9" x14ac:dyDescent="0.2">
      <c r="A36" s="24">
        <v>3</v>
      </c>
      <c r="B36" s="24">
        <v>2</v>
      </c>
      <c r="C36" s="20">
        <f t="shared" si="4"/>
        <v>10978512.45718533</v>
      </c>
      <c r="D36" s="20">
        <f t="shared" si="0"/>
        <v>11640.710166537894</v>
      </c>
      <c r="E36" s="20">
        <f t="shared" si="1"/>
        <v>59466.94247642054</v>
      </c>
      <c r="F36" s="20">
        <f t="shared" si="2"/>
        <v>71107.652642958434</v>
      </c>
      <c r="G36" s="20">
        <f t="shared" si="3"/>
        <v>10966871.747018792</v>
      </c>
      <c r="H36" s="20">
        <f t="shared" si="5"/>
        <v>283128.25298120634</v>
      </c>
      <c r="I36" s="20">
        <f t="shared" si="6"/>
        <v>1565670.7157357126</v>
      </c>
    </row>
    <row r="37" spans="1:9" x14ac:dyDescent="0.2">
      <c r="A37" s="24">
        <v>3</v>
      </c>
      <c r="B37" s="24">
        <v>3</v>
      </c>
      <c r="C37" s="20">
        <f t="shared" si="4"/>
        <v>10966871.747018792</v>
      </c>
      <c r="D37" s="20">
        <f t="shared" si="0"/>
        <v>11703.764013273307</v>
      </c>
      <c r="E37" s="20">
        <f t="shared" si="1"/>
        <v>59403.888629685127</v>
      </c>
      <c r="F37" s="20">
        <f t="shared" si="2"/>
        <v>71107.652642958434</v>
      </c>
      <c r="G37" s="20">
        <f t="shared" si="3"/>
        <v>10955167.983005518</v>
      </c>
      <c r="H37" s="20">
        <f t="shared" si="5"/>
        <v>294832.01699447964</v>
      </c>
      <c r="I37" s="20">
        <f t="shared" si="6"/>
        <v>1625074.6043653977</v>
      </c>
    </row>
    <row r="38" spans="1:9" x14ac:dyDescent="0.2">
      <c r="A38" s="24">
        <v>3</v>
      </c>
      <c r="B38" s="24">
        <v>4</v>
      </c>
      <c r="C38" s="20">
        <f t="shared" si="4"/>
        <v>10955167.983005518</v>
      </c>
      <c r="D38" s="20">
        <f t="shared" si="0"/>
        <v>11767.159401678546</v>
      </c>
      <c r="E38" s="20">
        <f t="shared" si="1"/>
        <v>59340.493241279888</v>
      </c>
      <c r="F38" s="20">
        <f t="shared" si="2"/>
        <v>71107.652642958434</v>
      </c>
      <c r="G38" s="20">
        <f t="shared" si="3"/>
        <v>10943400.823603839</v>
      </c>
      <c r="H38" s="20">
        <f t="shared" si="5"/>
        <v>306599.17639615817</v>
      </c>
      <c r="I38" s="20">
        <f t="shared" si="6"/>
        <v>1684415.0976066776</v>
      </c>
    </row>
    <row r="39" spans="1:9" x14ac:dyDescent="0.2">
      <c r="A39" s="24">
        <v>3</v>
      </c>
      <c r="B39" s="24">
        <v>5</v>
      </c>
      <c r="C39" s="20">
        <f t="shared" si="4"/>
        <v>10943400.823603839</v>
      </c>
      <c r="D39" s="20">
        <f t="shared" si="0"/>
        <v>11830.898181770972</v>
      </c>
      <c r="E39" s="20">
        <f t="shared" si="1"/>
        <v>59276.754461187462</v>
      </c>
      <c r="F39" s="20">
        <f t="shared" si="2"/>
        <v>71107.652642958434</v>
      </c>
      <c r="G39" s="20">
        <f t="shared" si="3"/>
        <v>10931569.925422067</v>
      </c>
      <c r="H39" s="20">
        <f t="shared" si="5"/>
        <v>318430.07457792916</v>
      </c>
      <c r="I39" s="20">
        <f t="shared" si="6"/>
        <v>1743691.852067865</v>
      </c>
    </row>
    <row r="40" spans="1:9" x14ac:dyDescent="0.2">
      <c r="A40" s="24">
        <v>3</v>
      </c>
      <c r="B40" s="24">
        <v>6</v>
      </c>
      <c r="C40" s="20">
        <f t="shared" si="4"/>
        <v>10931569.925422067</v>
      </c>
      <c r="D40" s="20">
        <f t="shared" si="0"/>
        <v>11894.982213588904</v>
      </c>
      <c r="E40" s="20">
        <f t="shared" si="1"/>
        <v>59212.670429369529</v>
      </c>
      <c r="F40" s="20">
        <f t="shared" si="2"/>
        <v>71107.652642958434</v>
      </c>
      <c r="G40" s="20">
        <f t="shared" si="3"/>
        <v>10919674.943208478</v>
      </c>
      <c r="H40" s="20">
        <f t="shared" si="5"/>
        <v>330325.05679151806</v>
      </c>
      <c r="I40" s="20">
        <f t="shared" si="6"/>
        <v>1802904.5224972344</v>
      </c>
    </row>
    <row r="41" spans="1:9" x14ac:dyDescent="0.2">
      <c r="A41" s="24">
        <v>3</v>
      </c>
      <c r="B41" s="24">
        <v>7</v>
      </c>
      <c r="C41" s="20">
        <f t="shared" si="4"/>
        <v>10919674.943208478</v>
      </c>
      <c r="D41" s="20">
        <f t="shared" si="0"/>
        <v>11959.413367245834</v>
      </c>
      <c r="E41" s="20">
        <f t="shared" si="1"/>
        <v>59148.2392757126</v>
      </c>
      <c r="F41" s="20">
        <f t="shared" si="2"/>
        <v>71107.652642958434</v>
      </c>
      <c r="G41" s="20">
        <f t="shared" si="3"/>
        <v>10907715.529841233</v>
      </c>
      <c r="H41" s="20">
        <f t="shared" si="5"/>
        <v>342284.47015876387</v>
      </c>
      <c r="I41" s="20">
        <f t="shared" si="6"/>
        <v>1862052.7617729469</v>
      </c>
    </row>
    <row r="42" spans="1:9" x14ac:dyDescent="0.2">
      <c r="A42" s="24">
        <v>3</v>
      </c>
      <c r="B42" s="24">
        <v>8</v>
      </c>
      <c r="C42" s="20">
        <f t="shared" si="4"/>
        <v>10907715.529841233</v>
      </c>
      <c r="D42" s="20">
        <f t="shared" si="0"/>
        <v>12024.193522985086</v>
      </c>
      <c r="E42" s="20">
        <f t="shared" si="1"/>
        <v>59083.459119973348</v>
      </c>
      <c r="F42" s="20">
        <f t="shared" si="2"/>
        <v>71107.652642958434</v>
      </c>
      <c r="G42" s="20">
        <f t="shared" si="3"/>
        <v>10895691.336318249</v>
      </c>
      <c r="H42" s="20">
        <f t="shared" si="5"/>
        <v>354308.66368174896</v>
      </c>
      <c r="I42" s="20">
        <f t="shared" si="6"/>
        <v>1921136.2208929202</v>
      </c>
    </row>
    <row r="43" spans="1:9" x14ac:dyDescent="0.2">
      <c r="A43" s="24">
        <v>3</v>
      </c>
      <c r="B43" s="24">
        <v>9</v>
      </c>
      <c r="C43" s="20">
        <f t="shared" si="4"/>
        <v>10895691.336318249</v>
      </c>
      <c r="D43" s="20">
        <f t="shared" si="0"/>
        <v>12089.324571234589</v>
      </c>
      <c r="E43" s="20">
        <f t="shared" si="1"/>
        <v>59018.328071723845</v>
      </c>
      <c r="F43" s="20">
        <f t="shared" si="2"/>
        <v>71107.652642958434</v>
      </c>
      <c r="G43" s="20">
        <f t="shared" si="3"/>
        <v>10883602.011747014</v>
      </c>
      <c r="H43" s="20">
        <f t="shared" si="5"/>
        <v>366397.98825298354</v>
      </c>
      <c r="I43" s="20">
        <f t="shared" si="6"/>
        <v>1980154.5489646441</v>
      </c>
    </row>
    <row r="44" spans="1:9" x14ac:dyDescent="0.2">
      <c r="A44" s="24">
        <v>3</v>
      </c>
      <c r="B44" s="24">
        <v>10</v>
      </c>
      <c r="C44" s="20">
        <f t="shared" si="4"/>
        <v>10883602.011747014</v>
      </c>
      <c r="D44" s="20">
        <f t="shared" si="0"/>
        <v>12154.808412662111</v>
      </c>
      <c r="E44" s="20">
        <f t="shared" si="1"/>
        <v>58952.844230296323</v>
      </c>
      <c r="F44" s="20">
        <f t="shared" si="2"/>
        <v>71107.652642958434</v>
      </c>
      <c r="G44" s="20">
        <f t="shared" si="3"/>
        <v>10871447.203334352</v>
      </c>
      <c r="H44" s="20">
        <f t="shared" si="5"/>
        <v>378552.79666564567</v>
      </c>
      <c r="I44" s="20">
        <f t="shared" si="6"/>
        <v>2039107.3931949404</v>
      </c>
    </row>
    <row r="45" spans="1:9" x14ac:dyDescent="0.2">
      <c r="A45" s="24">
        <v>3</v>
      </c>
      <c r="B45" s="24">
        <v>11</v>
      </c>
      <c r="C45" s="20">
        <f t="shared" si="4"/>
        <v>10871447.203334352</v>
      </c>
      <c r="D45" s="20">
        <f t="shared" si="0"/>
        <v>12220.646958230689</v>
      </c>
      <c r="E45" s="20">
        <f t="shared" si="1"/>
        <v>58887.005684727745</v>
      </c>
      <c r="F45" s="20">
        <f t="shared" si="2"/>
        <v>71107.652642958434</v>
      </c>
      <c r="G45" s="20">
        <f t="shared" si="3"/>
        <v>10859226.556376122</v>
      </c>
      <c r="H45" s="20">
        <f t="shared" si="5"/>
        <v>390773.44362387637</v>
      </c>
      <c r="I45" s="20">
        <f t="shared" si="6"/>
        <v>2097994.3988796682</v>
      </c>
    </row>
    <row r="46" spans="1:9" x14ac:dyDescent="0.2">
      <c r="A46" s="24">
        <v>3</v>
      </c>
      <c r="B46" s="24">
        <v>12</v>
      </c>
      <c r="C46" s="20">
        <f t="shared" si="4"/>
        <v>10859226.556376122</v>
      </c>
      <c r="D46" s="20">
        <f t="shared" si="0"/>
        <v>12286.842129254437</v>
      </c>
      <c r="E46" s="20">
        <f t="shared" si="1"/>
        <v>58820.810513703997</v>
      </c>
      <c r="F46" s="20">
        <f t="shared" si="2"/>
        <v>71107.652642958434</v>
      </c>
      <c r="G46" s="20">
        <f t="shared" si="3"/>
        <v>10846939.714246867</v>
      </c>
      <c r="H46" s="20">
        <f t="shared" si="5"/>
        <v>403060.2857531308</v>
      </c>
      <c r="I46" s="20">
        <f t="shared" si="6"/>
        <v>2156815.2093933723</v>
      </c>
    </row>
    <row r="47" spans="1:9" x14ac:dyDescent="0.2">
      <c r="A47" s="24">
        <v>4</v>
      </c>
      <c r="B47" s="24">
        <v>1</v>
      </c>
      <c r="C47" s="20">
        <f t="shared" si="4"/>
        <v>10846939.714246867</v>
      </c>
      <c r="D47" s="20">
        <f t="shared" si="0"/>
        <v>12353.395857454561</v>
      </c>
      <c r="E47" s="20">
        <f t="shared" si="1"/>
        <v>58754.256785503872</v>
      </c>
      <c r="F47" s="20">
        <f t="shared" si="2"/>
        <v>71107.652642958434</v>
      </c>
      <c r="G47" s="20">
        <f t="shared" si="3"/>
        <v>10834586.318389412</v>
      </c>
      <c r="H47" s="20">
        <f t="shared" si="5"/>
        <v>415413.68161058536</v>
      </c>
      <c r="I47" s="20">
        <f t="shared" si="6"/>
        <v>2215569.4661788763</v>
      </c>
    </row>
    <row r="48" spans="1:9" x14ac:dyDescent="0.2">
      <c r="A48" s="24">
        <v>4</v>
      </c>
      <c r="B48" s="24">
        <v>2</v>
      </c>
      <c r="C48" s="20">
        <f t="shared" si="4"/>
        <v>10834586.318389412</v>
      </c>
      <c r="D48" s="20">
        <f t="shared" si="0"/>
        <v>12420.310085015786</v>
      </c>
      <c r="E48" s="20">
        <f t="shared" si="1"/>
        <v>58687.342557942648</v>
      </c>
      <c r="F48" s="20">
        <f t="shared" si="2"/>
        <v>71107.652642958434</v>
      </c>
      <c r="G48" s="20">
        <f t="shared" si="3"/>
        <v>10822166.008304397</v>
      </c>
      <c r="H48" s="20">
        <f t="shared" si="5"/>
        <v>427833.99169560114</v>
      </c>
      <c r="I48" s="20">
        <f t="shared" si="6"/>
        <v>2274256.8087368188</v>
      </c>
    </row>
    <row r="49" spans="1:9" x14ac:dyDescent="0.2">
      <c r="A49" s="24">
        <v>4</v>
      </c>
      <c r="B49" s="24">
        <v>3</v>
      </c>
      <c r="C49" s="20">
        <f t="shared" si="4"/>
        <v>10822166.008304397</v>
      </c>
      <c r="D49" s="20">
        <f t="shared" si="0"/>
        <v>12487.586764642954</v>
      </c>
      <c r="E49" s="20">
        <f t="shared" si="1"/>
        <v>58620.065878315479</v>
      </c>
      <c r="F49" s="20">
        <f t="shared" si="2"/>
        <v>71107.652642958434</v>
      </c>
      <c r="G49" s="20">
        <f t="shared" si="3"/>
        <v>10809678.421539754</v>
      </c>
      <c r="H49" s="20">
        <f t="shared" si="5"/>
        <v>440321.57846024411</v>
      </c>
      <c r="I49" s="20">
        <f t="shared" si="6"/>
        <v>2332876.8746151342</v>
      </c>
    </row>
    <row r="50" spans="1:9" x14ac:dyDescent="0.2">
      <c r="A50" s="24">
        <v>4</v>
      </c>
      <c r="B50" s="24">
        <v>4</v>
      </c>
      <c r="C50" s="20">
        <f t="shared" si="4"/>
        <v>10809678.421539754</v>
      </c>
      <c r="D50" s="20">
        <f t="shared" si="0"/>
        <v>12555.227859618099</v>
      </c>
      <c r="E50" s="20">
        <f t="shared" si="1"/>
        <v>58552.424783340335</v>
      </c>
      <c r="F50" s="20">
        <f t="shared" si="2"/>
        <v>71107.652642958434</v>
      </c>
      <c r="G50" s="20">
        <f t="shared" si="3"/>
        <v>10797123.193680136</v>
      </c>
      <c r="H50" s="20">
        <f t="shared" si="5"/>
        <v>452876.8063198622</v>
      </c>
      <c r="I50" s="20">
        <f t="shared" si="6"/>
        <v>2391429.2993984744</v>
      </c>
    </row>
    <row r="51" spans="1:9" x14ac:dyDescent="0.2">
      <c r="A51" s="24">
        <v>4</v>
      </c>
      <c r="B51" s="24">
        <v>5</v>
      </c>
      <c r="C51" s="20">
        <f t="shared" si="4"/>
        <v>10797123.193680136</v>
      </c>
      <c r="D51" s="20">
        <f t="shared" si="0"/>
        <v>12623.235343857705</v>
      </c>
      <c r="E51" s="20">
        <f t="shared" si="1"/>
        <v>58484.417299100729</v>
      </c>
      <c r="F51" s="20">
        <f t="shared" si="2"/>
        <v>71107.652642958434</v>
      </c>
      <c r="G51" s="20">
        <f t="shared" si="3"/>
        <v>10784499.958336277</v>
      </c>
      <c r="H51" s="20">
        <f t="shared" si="5"/>
        <v>465500.04166371992</v>
      </c>
      <c r="I51" s="20">
        <f t="shared" si="6"/>
        <v>2449913.7166975751</v>
      </c>
    </row>
    <row r="52" spans="1:9" x14ac:dyDescent="0.2">
      <c r="A52" s="24">
        <v>4</v>
      </c>
      <c r="B52" s="24">
        <v>6</v>
      </c>
      <c r="C52" s="20">
        <f t="shared" si="4"/>
        <v>10784499.958336277</v>
      </c>
      <c r="D52" s="20">
        <f t="shared" si="0"/>
        <v>12691.611201970263</v>
      </c>
      <c r="E52" s="20">
        <f t="shared" si="1"/>
        <v>58416.041440988171</v>
      </c>
      <c r="F52" s="20">
        <f t="shared" si="2"/>
        <v>71107.652642958434</v>
      </c>
      <c r="G52" s="20">
        <f t="shared" si="3"/>
        <v>10771808.347134307</v>
      </c>
      <c r="H52" s="20">
        <f t="shared" si="5"/>
        <v>478191.65286569018</v>
      </c>
      <c r="I52" s="20">
        <f t="shared" si="6"/>
        <v>2508329.758138563</v>
      </c>
    </row>
    <row r="53" spans="1:9" x14ac:dyDescent="0.2">
      <c r="A53" s="24">
        <v>4</v>
      </c>
      <c r="B53" s="24">
        <v>7</v>
      </c>
      <c r="C53" s="20">
        <f t="shared" si="4"/>
        <v>10771808.347134307</v>
      </c>
      <c r="D53" s="20">
        <f t="shared" si="0"/>
        <v>12760.357429314266</v>
      </c>
      <c r="E53" s="20">
        <f t="shared" si="1"/>
        <v>58347.295213644167</v>
      </c>
      <c r="F53" s="20">
        <f t="shared" si="2"/>
        <v>71107.652642958434</v>
      </c>
      <c r="G53" s="20">
        <f t="shared" si="3"/>
        <v>10759047.989704993</v>
      </c>
      <c r="H53" s="20">
        <f t="shared" si="5"/>
        <v>490952.01029500447</v>
      </c>
      <c r="I53" s="20">
        <f t="shared" si="6"/>
        <v>2566677.0533522074</v>
      </c>
    </row>
    <row r="54" spans="1:9" x14ac:dyDescent="0.2">
      <c r="A54" s="24">
        <v>4</v>
      </c>
      <c r="B54" s="24">
        <v>8</v>
      </c>
      <c r="C54" s="20">
        <f t="shared" si="4"/>
        <v>10759047.989704993</v>
      </c>
      <c r="D54" s="20">
        <f t="shared" si="0"/>
        <v>12829.476032056387</v>
      </c>
      <c r="E54" s="20">
        <f t="shared" si="1"/>
        <v>58278.176610902046</v>
      </c>
      <c r="F54" s="20">
        <f t="shared" si="2"/>
        <v>71107.652642958434</v>
      </c>
      <c r="G54" s="20">
        <f t="shared" si="3"/>
        <v>10746218.513672937</v>
      </c>
      <c r="H54" s="20">
        <f t="shared" si="5"/>
        <v>503781.48632706085</v>
      </c>
      <c r="I54" s="20">
        <f t="shared" si="6"/>
        <v>2624955.2299631094</v>
      </c>
    </row>
    <row r="55" spans="1:9" x14ac:dyDescent="0.2">
      <c r="A55" s="24">
        <v>4</v>
      </c>
      <c r="B55" s="24">
        <v>9</v>
      </c>
      <c r="C55" s="20">
        <f t="shared" si="4"/>
        <v>10746218.513672937</v>
      </c>
      <c r="D55" s="20">
        <f t="shared" si="0"/>
        <v>12898.969027230029</v>
      </c>
      <c r="E55" s="20">
        <f t="shared" si="1"/>
        <v>58208.683615728405</v>
      </c>
      <c r="F55" s="20">
        <f t="shared" si="2"/>
        <v>71107.652642958434</v>
      </c>
      <c r="G55" s="20">
        <f t="shared" si="3"/>
        <v>10733319.544645706</v>
      </c>
      <c r="H55" s="20">
        <f t="shared" si="5"/>
        <v>516680.4553542909</v>
      </c>
      <c r="I55" s="20">
        <f t="shared" si="6"/>
        <v>2683163.9135788376</v>
      </c>
    </row>
    <row r="56" spans="1:9" x14ac:dyDescent="0.2">
      <c r="A56" s="24">
        <v>4</v>
      </c>
      <c r="B56" s="24">
        <v>10</v>
      </c>
      <c r="C56" s="20">
        <f t="shared" si="4"/>
        <v>10733319.544645706</v>
      </c>
      <c r="D56" s="20">
        <f t="shared" si="0"/>
        <v>12968.838442794186</v>
      </c>
      <c r="E56" s="20">
        <f t="shared" si="1"/>
        <v>58138.814200164248</v>
      </c>
      <c r="F56" s="20">
        <f t="shared" si="2"/>
        <v>71107.652642958434</v>
      </c>
      <c r="G56" s="20">
        <f t="shared" si="3"/>
        <v>10720350.706202911</v>
      </c>
      <c r="H56" s="20">
        <f t="shared" si="5"/>
        <v>529649.29379708506</v>
      </c>
      <c r="I56" s="20">
        <f t="shared" si="6"/>
        <v>2741302.7277790019</v>
      </c>
    </row>
    <row r="57" spans="1:9" x14ac:dyDescent="0.2">
      <c r="A57" s="24">
        <v>4</v>
      </c>
      <c r="B57" s="24">
        <v>11</v>
      </c>
      <c r="C57" s="20">
        <f t="shared" si="4"/>
        <v>10720350.706202911</v>
      </c>
      <c r="D57" s="20">
        <f t="shared" si="0"/>
        <v>13039.086317692665</v>
      </c>
      <c r="E57" s="20">
        <f t="shared" si="1"/>
        <v>58068.566325265769</v>
      </c>
      <c r="F57" s="20">
        <f t="shared" si="2"/>
        <v>71107.652642958434</v>
      </c>
      <c r="G57" s="20">
        <f t="shared" si="3"/>
        <v>10707311.619885219</v>
      </c>
      <c r="H57" s="20">
        <f t="shared" si="5"/>
        <v>542688.38011477771</v>
      </c>
      <c r="I57" s="20">
        <f t="shared" si="6"/>
        <v>2799371.2941042678</v>
      </c>
    </row>
    <row r="58" spans="1:9" x14ac:dyDescent="0.2">
      <c r="A58" s="24">
        <v>4</v>
      </c>
      <c r="B58" s="24">
        <v>12</v>
      </c>
      <c r="C58" s="20">
        <f t="shared" si="4"/>
        <v>10707311.619885219</v>
      </c>
      <c r="D58" s="20">
        <f t="shared" si="0"/>
        <v>13109.714701913494</v>
      </c>
      <c r="E58" s="20">
        <f t="shared" si="1"/>
        <v>57997.93794104494</v>
      </c>
      <c r="F58" s="20">
        <f t="shared" si="2"/>
        <v>71107.652642958434</v>
      </c>
      <c r="G58" s="20">
        <f t="shared" si="3"/>
        <v>10694201.905183306</v>
      </c>
      <c r="H58" s="20">
        <f t="shared" si="5"/>
        <v>555798.09481669124</v>
      </c>
      <c r="I58" s="20">
        <f t="shared" si="6"/>
        <v>2857369.2320453129</v>
      </c>
    </row>
    <row r="59" spans="1:9" x14ac:dyDescent="0.2">
      <c r="A59" s="24">
        <v>5</v>
      </c>
      <c r="B59" s="24">
        <v>1</v>
      </c>
      <c r="C59" s="20">
        <f t="shared" si="4"/>
        <v>10694201.905183306</v>
      </c>
      <c r="D59" s="20">
        <f t="shared" si="0"/>
        <v>13180.725656548857</v>
      </c>
      <c r="E59" s="20">
        <f t="shared" si="1"/>
        <v>57926.926986409577</v>
      </c>
      <c r="F59" s="20">
        <f t="shared" si="2"/>
        <v>71107.652642958434</v>
      </c>
      <c r="G59" s="20">
        <f t="shared" si="3"/>
        <v>10681021.179526757</v>
      </c>
      <c r="H59" s="20">
        <f t="shared" si="5"/>
        <v>568978.82047324011</v>
      </c>
      <c r="I59" s="20">
        <f t="shared" si="6"/>
        <v>2915296.1590317222</v>
      </c>
    </row>
    <row r="60" spans="1:9" x14ac:dyDescent="0.2">
      <c r="A60" s="24">
        <v>5</v>
      </c>
      <c r="B60" s="24">
        <v>2</v>
      </c>
      <c r="C60" s="20">
        <f t="shared" si="4"/>
        <v>10681021.179526757</v>
      </c>
      <c r="D60" s="20">
        <f t="shared" si="0"/>
        <v>13252.121253855163</v>
      </c>
      <c r="E60" s="20">
        <f t="shared" si="1"/>
        <v>57855.531389103271</v>
      </c>
      <c r="F60" s="20">
        <f t="shared" si="2"/>
        <v>71107.652642958434</v>
      </c>
      <c r="G60" s="20">
        <f t="shared" si="3"/>
        <v>10667769.058272902</v>
      </c>
      <c r="H60" s="20">
        <f t="shared" si="5"/>
        <v>582230.94172709528</v>
      </c>
      <c r="I60" s="20">
        <f t="shared" si="6"/>
        <v>2973151.6904208255</v>
      </c>
    </row>
    <row r="61" spans="1:9" x14ac:dyDescent="0.2">
      <c r="A61" s="24">
        <v>5</v>
      </c>
      <c r="B61" s="24">
        <v>3</v>
      </c>
      <c r="C61" s="20">
        <f t="shared" si="4"/>
        <v>10667769.058272902</v>
      </c>
      <c r="D61" s="20">
        <f t="shared" si="0"/>
        <v>13323.903577313547</v>
      </c>
      <c r="E61" s="20">
        <f t="shared" si="1"/>
        <v>57783.749065644886</v>
      </c>
      <c r="F61" s="20">
        <f t="shared" si="2"/>
        <v>71107.652642958434</v>
      </c>
      <c r="G61" s="20">
        <f t="shared" si="3"/>
        <v>10654445.154695589</v>
      </c>
      <c r="H61" s="20">
        <f t="shared" si="5"/>
        <v>595554.84530440881</v>
      </c>
      <c r="I61" s="20">
        <f t="shared" si="6"/>
        <v>3030935.4394864705</v>
      </c>
    </row>
    <row r="62" spans="1:9" x14ac:dyDescent="0.2">
      <c r="A62" s="24">
        <v>5</v>
      </c>
      <c r="B62" s="24">
        <v>4</v>
      </c>
      <c r="C62" s="20">
        <f t="shared" si="4"/>
        <v>10654445.154695589</v>
      </c>
      <c r="D62" s="20">
        <f t="shared" si="0"/>
        <v>13396.07472169066</v>
      </c>
      <c r="E62" s="20">
        <f t="shared" si="1"/>
        <v>57711.577921267773</v>
      </c>
      <c r="F62" s="20">
        <f t="shared" si="2"/>
        <v>71107.652642958434</v>
      </c>
      <c r="G62" s="20">
        <f t="shared" si="3"/>
        <v>10641049.079973899</v>
      </c>
      <c r="H62" s="20">
        <f t="shared" si="5"/>
        <v>608950.92002609943</v>
      </c>
      <c r="I62" s="20">
        <f t="shared" si="6"/>
        <v>3088647.0174077381</v>
      </c>
    </row>
    <row r="63" spans="1:9" x14ac:dyDescent="0.2">
      <c r="A63" s="24">
        <v>5</v>
      </c>
      <c r="B63" s="24">
        <v>5</v>
      </c>
      <c r="C63" s="20">
        <f t="shared" si="4"/>
        <v>10641049.079973899</v>
      </c>
      <c r="D63" s="20">
        <f t="shared" si="0"/>
        <v>13468.636793099817</v>
      </c>
      <c r="E63" s="20">
        <f t="shared" si="1"/>
        <v>57639.015849858617</v>
      </c>
      <c r="F63" s="20">
        <f t="shared" si="2"/>
        <v>71107.652642958434</v>
      </c>
      <c r="G63" s="20">
        <f t="shared" si="3"/>
        <v>10627580.443180799</v>
      </c>
      <c r="H63" s="20">
        <f t="shared" si="5"/>
        <v>622419.55681919924</v>
      </c>
      <c r="I63" s="20">
        <f t="shared" si="6"/>
        <v>3146286.0332575967</v>
      </c>
    </row>
    <row r="64" spans="1:9" x14ac:dyDescent="0.2">
      <c r="A64" s="24">
        <v>5</v>
      </c>
      <c r="B64" s="24">
        <v>6</v>
      </c>
      <c r="C64" s="20">
        <f t="shared" si="4"/>
        <v>10627580.443180799</v>
      </c>
      <c r="D64" s="20">
        <f t="shared" si="0"/>
        <v>13541.59190906243</v>
      </c>
      <c r="E64" s="20">
        <f t="shared" si="1"/>
        <v>57566.060733896004</v>
      </c>
      <c r="F64" s="20">
        <f t="shared" si="2"/>
        <v>71107.652642958434</v>
      </c>
      <c r="G64" s="20">
        <f t="shared" si="3"/>
        <v>10614038.851271737</v>
      </c>
      <c r="H64" s="20">
        <f t="shared" si="5"/>
        <v>635961.1487282617</v>
      </c>
      <c r="I64" s="20">
        <f t="shared" si="6"/>
        <v>3203852.0939914929</v>
      </c>
    </row>
    <row r="65" spans="1:9" x14ac:dyDescent="0.2">
      <c r="A65" s="24">
        <v>5</v>
      </c>
      <c r="B65" s="24">
        <v>7</v>
      </c>
      <c r="C65" s="20">
        <f t="shared" si="4"/>
        <v>10614038.851271737</v>
      </c>
      <c r="D65" s="20">
        <f t="shared" si="0"/>
        <v>13614.94219856985</v>
      </c>
      <c r="E65" s="20">
        <f t="shared" si="1"/>
        <v>57492.710444388584</v>
      </c>
      <c r="F65" s="20">
        <f t="shared" si="2"/>
        <v>71107.652642958434</v>
      </c>
      <c r="G65" s="20">
        <f t="shared" si="3"/>
        <v>10600423.909073168</v>
      </c>
      <c r="H65" s="20">
        <f t="shared" si="5"/>
        <v>649576.09092683159</v>
      </c>
      <c r="I65" s="20">
        <f t="shared" si="6"/>
        <v>3261344.8044358813</v>
      </c>
    </row>
    <row r="66" spans="1:9" x14ac:dyDescent="0.2">
      <c r="A66" s="24">
        <v>5</v>
      </c>
      <c r="B66" s="24">
        <v>8</v>
      </c>
      <c r="C66" s="20">
        <f t="shared" si="4"/>
        <v>10600423.909073168</v>
      </c>
      <c r="D66" s="20">
        <f t="shared" si="0"/>
        <v>13688.689802145433</v>
      </c>
      <c r="E66" s="20">
        <f t="shared" si="1"/>
        <v>57418.962840813001</v>
      </c>
      <c r="F66" s="20">
        <f t="shared" si="2"/>
        <v>71107.652642958434</v>
      </c>
      <c r="G66" s="20">
        <f t="shared" si="3"/>
        <v>10586735.219271023</v>
      </c>
      <c r="H66" s="20">
        <f t="shared" si="5"/>
        <v>663264.78072897706</v>
      </c>
      <c r="I66" s="20">
        <f t="shared" si="6"/>
        <v>3318763.7672766945</v>
      </c>
    </row>
    <row r="67" spans="1:9" x14ac:dyDescent="0.2">
      <c r="A67" s="24">
        <v>5</v>
      </c>
      <c r="B67" s="24">
        <v>9</v>
      </c>
      <c r="C67" s="20">
        <f t="shared" si="4"/>
        <v>10586735.219271023</v>
      </c>
      <c r="D67" s="20">
        <f t="shared" si="0"/>
        <v>13762.836871907064</v>
      </c>
      <c r="E67" s="20">
        <f t="shared" si="1"/>
        <v>57344.81577105137</v>
      </c>
      <c r="F67" s="20">
        <f t="shared" si="2"/>
        <v>71107.652642958434</v>
      </c>
      <c r="G67" s="20">
        <f t="shared" si="3"/>
        <v>10572972.382399116</v>
      </c>
      <c r="H67" s="20">
        <f t="shared" si="5"/>
        <v>677027.61760088417</v>
      </c>
      <c r="I67" s="20">
        <f t="shared" si="6"/>
        <v>3376108.5830477457</v>
      </c>
    </row>
    <row r="68" spans="1:9" x14ac:dyDescent="0.2">
      <c r="A68" s="24">
        <v>5</v>
      </c>
      <c r="B68" s="24">
        <v>10</v>
      </c>
      <c r="C68" s="20">
        <f t="shared" si="4"/>
        <v>10572972.382399116</v>
      </c>
      <c r="D68" s="20">
        <f t="shared" si="0"/>
        <v>13837.385571629893</v>
      </c>
      <c r="E68" s="20">
        <f t="shared" si="1"/>
        <v>57270.267071328541</v>
      </c>
      <c r="F68" s="20">
        <f t="shared" si="2"/>
        <v>71107.652642958434</v>
      </c>
      <c r="G68" s="20">
        <f t="shared" si="3"/>
        <v>10559134.996827485</v>
      </c>
      <c r="H68" s="20">
        <f t="shared" si="5"/>
        <v>690865.00317251403</v>
      </c>
      <c r="I68" s="20">
        <f t="shared" si="6"/>
        <v>3433378.8501190743</v>
      </c>
    </row>
    <row r="69" spans="1:9" x14ac:dyDescent="0.2">
      <c r="A69" s="24">
        <v>5</v>
      </c>
      <c r="B69" s="24">
        <v>11</v>
      </c>
      <c r="C69" s="20">
        <f t="shared" si="4"/>
        <v>10559134.996827485</v>
      </c>
      <c r="D69" s="20">
        <f t="shared" si="0"/>
        <v>13912.338076809552</v>
      </c>
      <c r="E69" s="20">
        <f t="shared" si="1"/>
        <v>57195.314566148882</v>
      </c>
      <c r="F69" s="20">
        <f t="shared" si="2"/>
        <v>71107.652642958434</v>
      </c>
      <c r="G69" s="20">
        <f t="shared" si="3"/>
        <v>10545222.658750676</v>
      </c>
      <c r="H69" s="20">
        <f t="shared" si="5"/>
        <v>704777.34124932357</v>
      </c>
      <c r="I69" s="20">
        <f t="shared" si="6"/>
        <v>3490574.1646852233</v>
      </c>
    </row>
    <row r="70" spans="1:9" x14ac:dyDescent="0.2">
      <c r="A70" s="24">
        <v>5</v>
      </c>
      <c r="B70" s="24">
        <v>12</v>
      </c>
      <c r="C70" s="20">
        <f t="shared" si="4"/>
        <v>10545222.658750676</v>
      </c>
      <c r="D70" s="20">
        <f t="shared" si="0"/>
        <v>13987.696574725604</v>
      </c>
      <c r="E70" s="20">
        <f t="shared" si="1"/>
        <v>57119.95606823283</v>
      </c>
      <c r="F70" s="20">
        <f t="shared" si="2"/>
        <v>71107.652642958434</v>
      </c>
      <c r="G70" s="20">
        <f t="shared" si="3"/>
        <v>10531234.96217595</v>
      </c>
      <c r="H70" s="20">
        <f t="shared" si="5"/>
        <v>718765.03782404913</v>
      </c>
      <c r="I70" s="20">
        <f t="shared" si="6"/>
        <v>3547694.1207534559</v>
      </c>
    </row>
    <row r="71" spans="1:9" x14ac:dyDescent="0.2">
      <c r="A71" s="24">
        <v>6</v>
      </c>
      <c r="B71" s="24">
        <v>1</v>
      </c>
      <c r="C71" s="20">
        <f t="shared" si="4"/>
        <v>10531234.96217595</v>
      </c>
      <c r="D71" s="20">
        <f t="shared" si="0"/>
        <v>14063.463264505364</v>
      </c>
      <c r="E71" s="20">
        <f t="shared" si="1"/>
        <v>57044.189378453069</v>
      </c>
      <c r="F71" s="20">
        <f t="shared" si="2"/>
        <v>71107.652642958434</v>
      </c>
      <c r="G71" s="20">
        <f t="shared" si="3"/>
        <v>10517171.498911446</v>
      </c>
      <c r="H71" s="20">
        <f t="shared" si="5"/>
        <v>732828.50108855451</v>
      </c>
      <c r="I71" s="20">
        <f t="shared" si="6"/>
        <v>3604738.3101319089</v>
      </c>
    </row>
    <row r="72" spans="1:9" x14ac:dyDescent="0.2">
      <c r="A72" s="24">
        <v>6</v>
      </c>
      <c r="B72" s="24">
        <v>2</v>
      </c>
      <c r="C72" s="20">
        <f t="shared" si="4"/>
        <v>10517171.498911446</v>
      </c>
      <c r="D72" s="20">
        <f t="shared" si="0"/>
        <v>14139.640357188102</v>
      </c>
      <c r="E72" s="20">
        <f t="shared" si="1"/>
        <v>56968.012285770332</v>
      </c>
      <c r="F72" s="20">
        <f t="shared" si="2"/>
        <v>71107.652642958434</v>
      </c>
      <c r="G72" s="20">
        <f t="shared" si="3"/>
        <v>10503031.858554257</v>
      </c>
      <c r="H72" s="20">
        <f t="shared" si="5"/>
        <v>746968.14144574257</v>
      </c>
      <c r="I72" s="20">
        <f t="shared" si="6"/>
        <v>3661706.3224176792</v>
      </c>
    </row>
    <row r="73" spans="1:9" x14ac:dyDescent="0.2">
      <c r="A73" s="24">
        <v>6</v>
      </c>
      <c r="B73" s="24">
        <v>3</v>
      </c>
      <c r="C73" s="20">
        <f t="shared" si="4"/>
        <v>10503031.858554257</v>
      </c>
      <c r="D73" s="20">
        <f t="shared" si="0"/>
        <v>14216.230075789543</v>
      </c>
      <c r="E73" s="20">
        <f t="shared" si="1"/>
        <v>56891.422567168891</v>
      </c>
      <c r="F73" s="20">
        <f t="shared" si="2"/>
        <v>71107.652642958434</v>
      </c>
      <c r="G73" s="20">
        <f t="shared" si="3"/>
        <v>10488815.628478467</v>
      </c>
      <c r="H73" s="20">
        <f t="shared" si="5"/>
        <v>761184.37152153207</v>
      </c>
      <c r="I73" s="20">
        <f t="shared" si="6"/>
        <v>3718597.744984848</v>
      </c>
    </row>
    <row r="74" spans="1:9" x14ac:dyDescent="0.2">
      <c r="A74" s="24">
        <v>6</v>
      </c>
      <c r="B74" s="24">
        <v>4</v>
      </c>
      <c r="C74" s="20">
        <f t="shared" si="4"/>
        <v>10488815.628478467</v>
      </c>
      <c r="D74" s="20">
        <f t="shared" si="0"/>
        <v>14293.23465536673</v>
      </c>
      <c r="E74" s="20">
        <f t="shared" si="1"/>
        <v>56814.417987591703</v>
      </c>
      <c r="F74" s="20">
        <f t="shared" si="2"/>
        <v>71107.652642958434</v>
      </c>
      <c r="G74" s="20">
        <f t="shared" si="3"/>
        <v>10474522.3938231</v>
      </c>
      <c r="H74" s="20">
        <f t="shared" si="5"/>
        <v>775477.60617689881</v>
      </c>
      <c r="I74" s="20">
        <f t="shared" si="6"/>
        <v>3775412.1629724395</v>
      </c>
    </row>
    <row r="75" spans="1:9" x14ac:dyDescent="0.2">
      <c r="A75" s="24">
        <v>6</v>
      </c>
      <c r="B75" s="24">
        <v>5</v>
      </c>
      <c r="C75" s="20">
        <f t="shared" si="4"/>
        <v>10474522.3938231</v>
      </c>
      <c r="D75" s="20">
        <f t="shared" ref="D75:D138" si="7">Monthly_Payment-E75</f>
        <v>14370.656343083312</v>
      </c>
      <c r="E75" s="20">
        <f t="shared" ref="E75:E138" si="8">C75*Interest_Rate/12</f>
        <v>56736.996299875122</v>
      </c>
      <c r="F75" s="20">
        <f t="shared" ref="F75:F138" si="9">Monthly_Payment</f>
        <v>71107.652642958434</v>
      </c>
      <c r="G75" s="20">
        <f t="shared" ref="G75:G138" si="10">C75-D75</f>
        <v>10460151.737480016</v>
      </c>
      <c r="H75" s="20">
        <f t="shared" si="5"/>
        <v>789848.26251998218</v>
      </c>
      <c r="I75" s="20">
        <f t="shared" si="6"/>
        <v>3832149.1592723145</v>
      </c>
    </row>
    <row r="76" spans="1:9" x14ac:dyDescent="0.2">
      <c r="A76" s="24">
        <v>6</v>
      </c>
      <c r="B76" s="24">
        <v>6</v>
      </c>
      <c r="C76" s="20">
        <f t="shared" ref="C76:C139" si="11">G75</f>
        <v>10460151.737480016</v>
      </c>
      <c r="D76" s="20">
        <f t="shared" si="7"/>
        <v>14448.497398275016</v>
      </c>
      <c r="E76" s="20">
        <f t="shared" si="8"/>
        <v>56659.155244683418</v>
      </c>
      <c r="F76" s="20">
        <f t="shared" si="9"/>
        <v>71107.652642958434</v>
      </c>
      <c r="G76" s="20">
        <f t="shared" si="10"/>
        <v>10445703.240081741</v>
      </c>
      <c r="H76" s="20">
        <f t="shared" ref="H76:H139" si="12">H75+D76</f>
        <v>804296.75991825724</v>
      </c>
      <c r="I76" s="20">
        <f t="shared" ref="I76:I139" si="13">I75+E76</f>
        <v>3888808.3145169979</v>
      </c>
    </row>
    <row r="77" spans="1:9" x14ac:dyDescent="0.2">
      <c r="A77" s="24">
        <v>6</v>
      </c>
      <c r="B77" s="24">
        <v>7</v>
      </c>
      <c r="C77" s="20">
        <f t="shared" si="11"/>
        <v>10445703.240081741</v>
      </c>
      <c r="D77" s="20">
        <f t="shared" si="7"/>
        <v>14526.760092515666</v>
      </c>
      <c r="E77" s="20">
        <f t="shared" si="8"/>
        <v>56580.892550442768</v>
      </c>
      <c r="F77" s="20">
        <f t="shared" si="9"/>
        <v>71107.652642958434</v>
      </c>
      <c r="G77" s="20">
        <f t="shared" si="10"/>
        <v>10431176.479989225</v>
      </c>
      <c r="H77" s="20">
        <f t="shared" si="12"/>
        <v>818823.52001077286</v>
      </c>
      <c r="I77" s="20">
        <f t="shared" si="13"/>
        <v>3945389.2070674407</v>
      </c>
    </row>
    <row r="78" spans="1:9" x14ac:dyDescent="0.2">
      <c r="A78" s="24">
        <v>6</v>
      </c>
      <c r="B78" s="24">
        <v>8</v>
      </c>
      <c r="C78" s="20">
        <f t="shared" si="11"/>
        <v>10431176.479989225</v>
      </c>
      <c r="D78" s="20">
        <f t="shared" si="7"/>
        <v>14605.446709683463</v>
      </c>
      <c r="E78" s="20">
        <f t="shared" si="8"/>
        <v>56502.20593327497</v>
      </c>
      <c r="F78" s="20">
        <f t="shared" si="9"/>
        <v>71107.652642958434</v>
      </c>
      <c r="G78" s="20">
        <f t="shared" si="10"/>
        <v>10416571.033279542</v>
      </c>
      <c r="H78" s="20">
        <f t="shared" si="12"/>
        <v>833428.96672045637</v>
      </c>
      <c r="I78" s="20">
        <f t="shared" si="13"/>
        <v>4001891.4130007159</v>
      </c>
    </row>
    <row r="79" spans="1:9" x14ac:dyDescent="0.2">
      <c r="A79" s="24">
        <v>6</v>
      </c>
      <c r="B79" s="24">
        <v>9</v>
      </c>
      <c r="C79" s="20">
        <f t="shared" si="11"/>
        <v>10416571.033279542</v>
      </c>
      <c r="D79" s="20">
        <f t="shared" si="7"/>
        <v>14684.55954602758</v>
      </c>
      <c r="E79" s="20">
        <f t="shared" si="8"/>
        <v>56423.093096930854</v>
      </c>
      <c r="F79" s="20">
        <f t="shared" si="9"/>
        <v>71107.652642958434</v>
      </c>
      <c r="G79" s="20">
        <f t="shared" si="10"/>
        <v>10401886.473733515</v>
      </c>
      <c r="H79" s="20">
        <f t="shared" si="12"/>
        <v>848113.52626648394</v>
      </c>
      <c r="I79" s="20">
        <f t="shared" si="13"/>
        <v>4058314.5060976469</v>
      </c>
    </row>
    <row r="80" spans="1:9" x14ac:dyDescent="0.2">
      <c r="A80" s="24">
        <v>6</v>
      </c>
      <c r="B80" s="24">
        <v>10</v>
      </c>
      <c r="C80" s="20">
        <f t="shared" si="11"/>
        <v>10401886.473733515</v>
      </c>
      <c r="D80" s="20">
        <f t="shared" si="7"/>
        <v>14764.100910235233</v>
      </c>
      <c r="E80" s="20">
        <f t="shared" si="8"/>
        <v>56343.551732723201</v>
      </c>
      <c r="F80" s="20">
        <f t="shared" si="9"/>
        <v>71107.652642958434</v>
      </c>
      <c r="G80" s="20">
        <f t="shared" si="10"/>
        <v>10387122.372823279</v>
      </c>
      <c r="H80" s="20">
        <f t="shared" si="12"/>
        <v>862877.62717671914</v>
      </c>
      <c r="I80" s="20">
        <f t="shared" si="13"/>
        <v>4114658.05783037</v>
      </c>
    </row>
    <row r="81" spans="1:9" x14ac:dyDescent="0.2">
      <c r="A81" s="24">
        <v>6</v>
      </c>
      <c r="B81" s="24">
        <v>11</v>
      </c>
      <c r="C81" s="20">
        <f t="shared" si="11"/>
        <v>10387122.372823279</v>
      </c>
      <c r="D81" s="20">
        <f t="shared" si="7"/>
        <v>14844.073123499002</v>
      </c>
      <c r="E81" s="20">
        <f t="shared" si="8"/>
        <v>56263.579519459432</v>
      </c>
      <c r="F81" s="20">
        <f t="shared" si="9"/>
        <v>71107.652642958434</v>
      </c>
      <c r="G81" s="20">
        <f t="shared" si="10"/>
        <v>10372278.29969978</v>
      </c>
      <c r="H81" s="20">
        <f t="shared" si="12"/>
        <v>877721.70030021819</v>
      </c>
      <c r="I81" s="20">
        <f t="shared" si="13"/>
        <v>4170921.6373498295</v>
      </c>
    </row>
    <row r="82" spans="1:9" x14ac:dyDescent="0.2">
      <c r="A82" s="24">
        <v>6</v>
      </c>
      <c r="B82" s="24">
        <v>12</v>
      </c>
      <c r="C82" s="20">
        <f t="shared" si="11"/>
        <v>10372278.29969978</v>
      </c>
      <c r="D82" s="20">
        <f t="shared" si="7"/>
        <v>14924.478519584627</v>
      </c>
      <c r="E82" s="20">
        <f t="shared" si="8"/>
        <v>56183.174123373807</v>
      </c>
      <c r="F82" s="20">
        <f t="shared" si="9"/>
        <v>71107.652642958434</v>
      </c>
      <c r="G82" s="20">
        <f t="shared" si="10"/>
        <v>10357353.821180195</v>
      </c>
      <c r="H82" s="20">
        <f t="shared" si="12"/>
        <v>892646.17881980282</v>
      </c>
      <c r="I82" s="20">
        <f t="shared" si="13"/>
        <v>4227104.8114732029</v>
      </c>
    </row>
    <row r="83" spans="1:9" x14ac:dyDescent="0.2">
      <c r="A83" s="24">
        <v>7</v>
      </c>
      <c r="B83" s="24">
        <v>1</v>
      </c>
      <c r="C83" s="20">
        <f t="shared" si="11"/>
        <v>10357353.821180195</v>
      </c>
      <c r="D83" s="20">
        <f t="shared" si="7"/>
        <v>15005.319444899047</v>
      </c>
      <c r="E83" s="20">
        <f t="shared" si="8"/>
        <v>56102.333198059387</v>
      </c>
      <c r="F83" s="20">
        <f t="shared" si="9"/>
        <v>71107.652642958434</v>
      </c>
      <c r="G83" s="20">
        <f t="shared" si="10"/>
        <v>10342348.501735296</v>
      </c>
      <c r="H83" s="20">
        <f t="shared" si="12"/>
        <v>907651.49826470192</v>
      </c>
      <c r="I83" s="20">
        <f t="shared" si="13"/>
        <v>4283207.1446712622</v>
      </c>
    </row>
    <row r="84" spans="1:9" x14ac:dyDescent="0.2">
      <c r="A84" s="24">
        <v>7</v>
      </c>
      <c r="B84" s="24">
        <v>2</v>
      </c>
      <c r="C84" s="20">
        <f t="shared" si="11"/>
        <v>10342348.501735296</v>
      </c>
      <c r="D84" s="20">
        <f t="shared" si="7"/>
        <v>15086.598258558908</v>
      </c>
      <c r="E84" s="20">
        <f t="shared" si="8"/>
        <v>56021.054384399526</v>
      </c>
      <c r="F84" s="20">
        <f t="shared" si="9"/>
        <v>71107.652642958434</v>
      </c>
      <c r="G84" s="20">
        <f t="shared" si="10"/>
        <v>10327261.903476737</v>
      </c>
      <c r="H84" s="20">
        <f t="shared" si="12"/>
        <v>922738.09652326081</v>
      </c>
      <c r="I84" s="20">
        <f t="shared" si="13"/>
        <v>4339228.1990556614</v>
      </c>
    </row>
    <row r="85" spans="1:9" x14ac:dyDescent="0.2">
      <c r="A85" s="24">
        <v>7</v>
      </c>
      <c r="B85" s="24">
        <v>3</v>
      </c>
      <c r="C85" s="20">
        <f t="shared" si="11"/>
        <v>10327261.903476737</v>
      </c>
      <c r="D85" s="20">
        <f t="shared" si="7"/>
        <v>15168.317332459432</v>
      </c>
      <c r="E85" s="20">
        <f t="shared" si="8"/>
        <v>55939.335310499002</v>
      </c>
      <c r="F85" s="20">
        <f t="shared" si="9"/>
        <v>71107.652642958434</v>
      </c>
      <c r="G85" s="20">
        <f t="shared" si="10"/>
        <v>10312093.586144278</v>
      </c>
      <c r="H85" s="20">
        <f t="shared" si="12"/>
        <v>937906.41385572019</v>
      </c>
      <c r="I85" s="20">
        <f t="shared" si="13"/>
        <v>4395167.5343661606</v>
      </c>
    </row>
    <row r="86" spans="1:9" x14ac:dyDescent="0.2">
      <c r="A86" s="24">
        <v>7</v>
      </c>
      <c r="B86" s="24">
        <v>4</v>
      </c>
      <c r="C86" s="20">
        <f t="shared" si="11"/>
        <v>10312093.586144278</v>
      </c>
      <c r="D86" s="20">
        <f t="shared" si="7"/>
        <v>15250.479051343595</v>
      </c>
      <c r="E86" s="20">
        <f t="shared" si="8"/>
        <v>55857.173591614839</v>
      </c>
      <c r="F86" s="20">
        <f t="shared" si="9"/>
        <v>71107.652642958434</v>
      </c>
      <c r="G86" s="20">
        <f t="shared" si="10"/>
        <v>10296843.107092934</v>
      </c>
      <c r="H86" s="20">
        <f t="shared" si="12"/>
        <v>953156.89290706383</v>
      </c>
      <c r="I86" s="20">
        <f t="shared" si="13"/>
        <v>4451024.7079577753</v>
      </c>
    </row>
    <row r="87" spans="1:9" x14ac:dyDescent="0.2">
      <c r="A87" s="24">
        <v>7</v>
      </c>
      <c r="B87" s="24">
        <v>5</v>
      </c>
      <c r="C87" s="20">
        <f t="shared" si="11"/>
        <v>10296843.107092934</v>
      </c>
      <c r="D87" s="20">
        <f t="shared" si="7"/>
        <v>15333.085812871708</v>
      </c>
      <c r="E87" s="20">
        <f t="shared" si="8"/>
        <v>55774.566830086726</v>
      </c>
      <c r="F87" s="20">
        <f t="shared" si="9"/>
        <v>71107.652642958434</v>
      </c>
      <c r="G87" s="20">
        <f t="shared" si="10"/>
        <v>10281510.021280061</v>
      </c>
      <c r="H87" s="20">
        <f t="shared" si="12"/>
        <v>968489.97871993552</v>
      </c>
      <c r="I87" s="20">
        <f t="shared" si="13"/>
        <v>4506799.2747878619</v>
      </c>
    </row>
    <row r="88" spans="1:9" x14ac:dyDescent="0.2">
      <c r="A88" s="24">
        <v>7</v>
      </c>
      <c r="B88" s="24">
        <v>6</v>
      </c>
      <c r="C88" s="20">
        <f t="shared" si="11"/>
        <v>10281510.021280061</v>
      </c>
      <c r="D88" s="20">
        <f t="shared" si="7"/>
        <v>15416.140027691428</v>
      </c>
      <c r="E88" s="20">
        <f t="shared" si="8"/>
        <v>55691.512615267005</v>
      </c>
      <c r="F88" s="20">
        <f t="shared" si="9"/>
        <v>71107.652642958434</v>
      </c>
      <c r="G88" s="20">
        <f t="shared" si="10"/>
        <v>10266093.881252371</v>
      </c>
      <c r="H88" s="20">
        <f t="shared" si="12"/>
        <v>983906.1187476269</v>
      </c>
      <c r="I88" s="20">
        <f t="shared" si="13"/>
        <v>4562490.787403129</v>
      </c>
    </row>
    <row r="89" spans="1:9" x14ac:dyDescent="0.2">
      <c r="A89" s="24">
        <v>7</v>
      </c>
      <c r="B89" s="24">
        <v>7</v>
      </c>
      <c r="C89" s="20">
        <f t="shared" si="11"/>
        <v>10266093.881252371</v>
      </c>
      <c r="D89" s="20">
        <f t="shared" si="7"/>
        <v>15499.644119508092</v>
      </c>
      <c r="E89" s="20">
        <f t="shared" si="8"/>
        <v>55608.008523450342</v>
      </c>
      <c r="F89" s="20">
        <f t="shared" si="9"/>
        <v>71107.652642958434</v>
      </c>
      <c r="G89" s="20">
        <f t="shared" si="10"/>
        <v>10250594.237132862</v>
      </c>
      <c r="H89" s="20">
        <f t="shared" si="12"/>
        <v>999405.762867135</v>
      </c>
      <c r="I89" s="20">
        <f t="shared" si="13"/>
        <v>4618098.7959265793</v>
      </c>
    </row>
    <row r="90" spans="1:9" x14ac:dyDescent="0.2">
      <c r="A90" s="24">
        <v>7</v>
      </c>
      <c r="B90" s="24">
        <v>8</v>
      </c>
      <c r="C90" s="20">
        <f t="shared" si="11"/>
        <v>10250594.237132862</v>
      </c>
      <c r="D90" s="20">
        <f t="shared" si="7"/>
        <v>15583.600525155423</v>
      </c>
      <c r="E90" s="20">
        <f t="shared" si="8"/>
        <v>55524.05211780301</v>
      </c>
      <c r="F90" s="20">
        <f t="shared" si="9"/>
        <v>71107.652642958434</v>
      </c>
      <c r="G90" s="20">
        <f t="shared" si="10"/>
        <v>10235010.636607707</v>
      </c>
      <c r="H90" s="20">
        <f t="shared" si="12"/>
        <v>1014989.3633922904</v>
      </c>
      <c r="I90" s="20">
        <f t="shared" si="13"/>
        <v>4673622.8480443824</v>
      </c>
    </row>
    <row r="91" spans="1:9" x14ac:dyDescent="0.2">
      <c r="A91" s="24">
        <v>7</v>
      </c>
      <c r="B91" s="24">
        <v>9</v>
      </c>
      <c r="C91" s="20">
        <f t="shared" si="11"/>
        <v>10235010.636607707</v>
      </c>
      <c r="D91" s="20">
        <f t="shared" si="7"/>
        <v>15668.011694666689</v>
      </c>
      <c r="E91" s="20">
        <f t="shared" si="8"/>
        <v>55439.640948291744</v>
      </c>
      <c r="F91" s="20">
        <f t="shared" si="9"/>
        <v>71107.652642958434</v>
      </c>
      <c r="G91" s="20">
        <f t="shared" si="10"/>
        <v>10219342.624913041</v>
      </c>
      <c r="H91" s="20">
        <f t="shared" si="12"/>
        <v>1030657.3750869571</v>
      </c>
      <c r="I91" s="20">
        <f t="shared" si="13"/>
        <v>4729062.4889926743</v>
      </c>
    </row>
    <row r="92" spans="1:9" x14ac:dyDescent="0.2">
      <c r="A92" s="24">
        <v>7</v>
      </c>
      <c r="B92" s="24">
        <v>10</v>
      </c>
      <c r="C92" s="20">
        <f t="shared" si="11"/>
        <v>10219342.624913041</v>
      </c>
      <c r="D92" s="20">
        <f t="shared" si="7"/>
        <v>15752.880091346124</v>
      </c>
      <c r="E92" s="20">
        <f t="shared" si="8"/>
        <v>55354.77255161231</v>
      </c>
      <c r="F92" s="20">
        <f t="shared" si="9"/>
        <v>71107.652642958434</v>
      </c>
      <c r="G92" s="20">
        <f t="shared" si="10"/>
        <v>10203589.744821694</v>
      </c>
      <c r="H92" s="20">
        <f t="shared" si="12"/>
        <v>1046410.2551783032</v>
      </c>
      <c r="I92" s="20">
        <f t="shared" si="13"/>
        <v>4784417.2615442863</v>
      </c>
    </row>
    <row r="93" spans="1:9" x14ac:dyDescent="0.2">
      <c r="A93" s="24">
        <v>7</v>
      </c>
      <c r="B93" s="24">
        <v>11</v>
      </c>
      <c r="C93" s="20">
        <f t="shared" si="11"/>
        <v>10203589.744821694</v>
      </c>
      <c r="D93" s="20">
        <f t="shared" si="7"/>
        <v>15838.208191840924</v>
      </c>
      <c r="E93" s="20">
        <f t="shared" si="8"/>
        <v>55269.44445111751</v>
      </c>
      <c r="F93" s="20">
        <f t="shared" si="9"/>
        <v>71107.652642958434</v>
      </c>
      <c r="G93" s="20">
        <f t="shared" si="10"/>
        <v>10187751.536629852</v>
      </c>
      <c r="H93" s="20">
        <f t="shared" si="12"/>
        <v>1062248.4633701441</v>
      </c>
      <c r="I93" s="20">
        <f t="shared" si="13"/>
        <v>4839686.7059954042</v>
      </c>
    </row>
    <row r="94" spans="1:9" x14ac:dyDescent="0.2">
      <c r="A94" s="24">
        <v>7</v>
      </c>
      <c r="B94" s="24">
        <v>12</v>
      </c>
      <c r="C94" s="20">
        <f t="shared" si="11"/>
        <v>10187751.536629852</v>
      </c>
      <c r="D94" s="20">
        <f t="shared" si="7"/>
        <v>15923.998486213401</v>
      </c>
      <c r="E94" s="20">
        <f t="shared" si="8"/>
        <v>55183.654156745033</v>
      </c>
      <c r="F94" s="20">
        <f t="shared" si="9"/>
        <v>71107.652642958434</v>
      </c>
      <c r="G94" s="20">
        <f t="shared" si="10"/>
        <v>10171827.538143639</v>
      </c>
      <c r="H94" s="20">
        <f t="shared" si="12"/>
        <v>1078172.4618563575</v>
      </c>
      <c r="I94" s="20">
        <f t="shared" si="13"/>
        <v>4894870.3601521496</v>
      </c>
    </row>
    <row r="95" spans="1:9" x14ac:dyDescent="0.2">
      <c r="A95" s="24">
        <v>8</v>
      </c>
      <c r="B95" s="24">
        <v>1</v>
      </c>
      <c r="C95" s="20">
        <f t="shared" si="11"/>
        <v>10171827.538143639</v>
      </c>
      <c r="D95" s="20">
        <f t="shared" si="7"/>
        <v>16010.253478013721</v>
      </c>
      <c r="E95" s="20">
        <f t="shared" si="8"/>
        <v>55097.399164944713</v>
      </c>
      <c r="F95" s="20">
        <f t="shared" si="9"/>
        <v>71107.652642958434</v>
      </c>
      <c r="G95" s="20">
        <f t="shared" si="10"/>
        <v>10155817.284665626</v>
      </c>
      <c r="H95" s="20">
        <f t="shared" si="12"/>
        <v>1094182.7153343712</v>
      </c>
      <c r="I95" s="20">
        <f t="shared" si="13"/>
        <v>4949967.7593170945</v>
      </c>
    </row>
    <row r="96" spans="1:9" x14ac:dyDescent="0.2">
      <c r="A96" s="24">
        <v>8</v>
      </c>
      <c r="B96" s="24">
        <v>2</v>
      </c>
      <c r="C96" s="20">
        <f t="shared" si="11"/>
        <v>10155817.284665626</v>
      </c>
      <c r="D96" s="20">
        <f t="shared" si="7"/>
        <v>16096.975684352961</v>
      </c>
      <c r="E96" s="20">
        <f t="shared" si="8"/>
        <v>55010.676958605472</v>
      </c>
      <c r="F96" s="20">
        <f t="shared" si="9"/>
        <v>71107.652642958434</v>
      </c>
      <c r="G96" s="20">
        <f t="shared" si="10"/>
        <v>10139720.308981273</v>
      </c>
      <c r="H96" s="20">
        <f t="shared" si="12"/>
        <v>1110279.6910187241</v>
      </c>
      <c r="I96" s="20">
        <f t="shared" si="13"/>
        <v>5004978.4362757001</v>
      </c>
    </row>
    <row r="97" spans="1:9" x14ac:dyDescent="0.2">
      <c r="A97" s="24">
        <v>8</v>
      </c>
      <c r="B97" s="24">
        <v>3</v>
      </c>
      <c r="C97" s="20">
        <f t="shared" si="11"/>
        <v>10139720.308981273</v>
      </c>
      <c r="D97" s="20">
        <f t="shared" si="7"/>
        <v>16184.167635976533</v>
      </c>
      <c r="E97" s="20">
        <f t="shared" si="8"/>
        <v>54923.4850069819</v>
      </c>
      <c r="F97" s="20">
        <f t="shared" si="9"/>
        <v>71107.652642958434</v>
      </c>
      <c r="G97" s="20">
        <f t="shared" si="10"/>
        <v>10123536.141345296</v>
      </c>
      <c r="H97" s="20">
        <f t="shared" si="12"/>
        <v>1126463.8586547007</v>
      </c>
      <c r="I97" s="20">
        <f t="shared" si="13"/>
        <v>5059901.9212826816</v>
      </c>
    </row>
    <row r="98" spans="1:9" x14ac:dyDescent="0.2">
      <c r="A98" s="24">
        <v>8</v>
      </c>
      <c r="B98" s="24">
        <v>4</v>
      </c>
      <c r="C98" s="20">
        <f t="shared" si="11"/>
        <v>10123536.141345296</v>
      </c>
      <c r="D98" s="20">
        <f t="shared" si="7"/>
        <v>16271.831877338074</v>
      </c>
      <c r="E98" s="20">
        <f t="shared" si="8"/>
        <v>54835.820765620359</v>
      </c>
      <c r="F98" s="20">
        <f t="shared" si="9"/>
        <v>71107.652642958434</v>
      </c>
      <c r="G98" s="20">
        <f t="shared" si="10"/>
        <v>10107264.309467958</v>
      </c>
      <c r="H98" s="20">
        <f t="shared" si="12"/>
        <v>1142735.6905320387</v>
      </c>
      <c r="I98" s="20">
        <f t="shared" si="13"/>
        <v>5114737.7420483017</v>
      </c>
    </row>
    <row r="99" spans="1:9" x14ac:dyDescent="0.2">
      <c r="A99" s="24">
        <v>8</v>
      </c>
      <c r="B99" s="24">
        <v>5</v>
      </c>
      <c r="C99" s="20">
        <f t="shared" si="11"/>
        <v>10107264.309467958</v>
      </c>
      <c r="D99" s="20">
        <f t="shared" si="7"/>
        <v>16359.970966673653</v>
      </c>
      <c r="E99" s="20">
        <f t="shared" si="8"/>
        <v>54747.681676284781</v>
      </c>
      <c r="F99" s="20">
        <f t="shared" si="9"/>
        <v>71107.652642958434</v>
      </c>
      <c r="G99" s="20">
        <f t="shared" si="10"/>
        <v>10090904.338501284</v>
      </c>
      <c r="H99" s="20">
        <f t="shared" si="12"/>
        <v>1159095.6614987124</v>
      </c>
      <c r="I99" s="20">
        <f t="shared" si="13"/>
        <v>5169485.4237245861</v>
      </c>
    </row>
    <row r="100" spans="1:9" x14ac:dyDescent="0.2">
      <c r="A100" s="24">
        <v>8</v>
      </c>
      <c r="B100" s="24">
        <v>6</v>
      </c>
      <c r="C100" s="20">
        <f t="shared" si="11"/>
        <v>10090904.338501284</v>
      </c>
      <c r="D100" s="20">
        <f t="shared" si="7"/>
        <v>16448.587476076478</v>
      </c>
      <c r="E100" s="20">
        <f t="shared" si="8"/>
        <v>54659.065166881956</v>
      </c>
      <c r="F100" s="20">
        <f t="shared" si="9"/>
        <v>71107.652642958434</v>
      </c>
      <c r="G100" s="20">
        <f t="shared" si="10"/>
        <v>10074455.751025207</v>
      </c>
      <c r="H100" s="20">
        <f t="shared" si="12"/>
        <v>1175544.2489747889</v>
      </c>
      <c r="I100" s="20">
        <f t="shared" si="13"/>
        <v>5224144.4888914684</v>
      </c>
    </row>
    <row r="101" spans="1:9" x14ac:dyDescent="0.2">
      <c r="A101" s="24">
        <v>8</v>
      </c>
      <c r="B101" s="24">
        <v>7</v>
      </c>
      <c r="C101" s="20">
        <f t="shared" si="11"/>
        <v>10074455.751025207</v>
      </c>
      <c r="D101" s="20">
        <f t="shared" si="7"/>
        <v>16537.683991571896</v>
      </c>
      <c r="E101" s="20">
        <f t="shared" si="8"/>
        <v>54569.968651386538</v>
      </c>
      <c r="F101" s="20">
        <f t="shared" si="9"/>
        <v>71107.652642958434</v>
      </c>
      <c r="G101" s="20">
        <f t="shared" si="10"/>
        <v>10057918.067033635</v>
      </c>
      <c r="H101" s="20">
        <f t="shared" si="12"/>
        <v>1192081.9329663608</v>
      </c>
      <c r="I101" s="20">
        <f t="shared" si="13"/>
        <v>5278714.4575428553</v>
      </c>
    </row>
    <row r="102" spans="1:9" x14ac:dyDescent="0.2">
      <c r="A102" s="24">
        <v>8</v>
      </c>
      <c r="B102" s="24">
        <v>8</v>
      </c>
      <c r="C102" s="20">
        <f t="shared" si="11"/>
        <v>10057918.067033635</v>
      </c>
      <c r="D102" s="20">
        <f t="shared" si="7"/>
        <v>16627.263113192908</v>
      </c>
      <c r="E102" s="20">
        <f t="shared" si="8"/>
        <v>54480.389529765525</v>
      </c>
      <c r="F102" s="20">
        <f t="shared" si="9"/>
        <v>71107.652642958434</v>
      </c>
      <c r="G102" s="20">
        <f t="shared" si="10"/>
        <v>10041290.803920442</v>
      </c>
      <c r="H102" s="20">
        <f t="shared" si="12"/>
        <v>1208709.1960795538</v>
      </c>
      <c r="I102" s="20">
        <f t="shared" si="13"/>
        <v>5333194.8470726209</v>
      </c>
    </row>
    <row r="103" spans="1:9" x14ac:dyDescent="0.2">
      <c r="A103" s="24">
        <v>8</v>
      </c>
      <c r="B103" s="24">
        <v>9</v>
      </c>
      <c r="C103" s="20">
        <f t="shared" si="11"/>
        <v>10041290.803920442</v>
      </c>
      <c r="D103" s="20">
        <f t="shared" si="7"/>
        <v>16717.327455056038</v>
      </c>
      <c r="E103" s="20">
        <f t="shared" si="8"/>
        <v>54390.325187902396</v>
      </c>
      <c r="F103" s="20">
        <f t="shared" si="9"/>
        <v>71107.652642958434</v>
      </c>
      <c r="G103" s="20">
        <f t="shared" si="10"/>
        <v>10024573.476465385</v>
      </c>
      <c r="H103" s="20">
        <f t="shared" si="12"/>
        <v>1225426.5235346099</v>
      </c>
      <c r="I103" s="20">
        <f t="shared" si="13"/>
        <v>5387585.1722605228</v>
      </c>
    </row>
    <row r="104" spans="1:9" x14ac:dyDescent="0.2">
      <c r="A104" s="24">
        <v>8</v>
      </c>
      <c r="B104" s="24">
        <v>10</v>
      </c>
      <c r="C104" s="20">
        <f t="shared" si="11"/>
        <v>10024573.476465385</v>
      </c>
      <c r="D104" s="20">
        <f t="shared" si="7"/>
        <v>16807.879645437599</v>
      </c>
      <c r="E104" s="20">
        <f t="shared" si="8"/>
        <v>54299.772997520835</v>
      </c>
      <c r="F104" s="20">
        <f t="shared" si="9"/>
        <v>71107.652642958434</v>
      </c>
      <c r="G104" s="20">
        <f t="shared" si="10"/>
        <v>10007765.596819948</v>
      </c>
      <c r="H104" s="20">
        <f t="shared" si="12"/>
        <v>1242234.4031800476</v>
      </c>
      <c r="I104" s="20">
        <f t="shared" si="13"/>
        <v>5441884.9452580437</v>
      </c>
    </row>
    <row r="105" spans="1:9" x14ac:dyDescent="0.2">
      <c r="A105" s="24">
        <v>8</v>
      </c>
      <c r="B105" s="24">
        <v>11</v>
      </c>
      <c r="C105" s="20">
        <f t="shared" si="11"/>
        <v>10007765.596819948</v>
      </c>
      <c r="D105" s="20">
        <f t="shared" si="7"/>
        <v>16898.922326850377</v>
      </c>
      <c r="E105" s="20">
        <f t="shared" si="8"/>
        <v>54208.730316108056</v>
      </c>
      <c r="F105" s="20">
        <f t="shared" si="9"/>
        <v>71107.652642958434</v>
      </c>
      <c r="G105" s="20">
        <f t="shared" si="10"/>
        <v>9990866.6744930986</v>
      </c>
      <c r="H105" s="20">
        <f t="shared" si="12"/>
        <v>1259133.3255068981</v>
      </c>
      <c r="I105" s="20">
        <f t="shared" si="13"/>
        <v>5496093.6755741518</v>
      </c>
    </row>
    <row r="106" spans="1:9" x14ac:dyDescent="0.2">
      <c r="A106" s="24">
        <v>8</v>
      </c>
      <c r="B106" s="24">
        <v>12</v>
      </c>
      <c r="C106" s="20">
        <f t="shared" si="11"/>
        <v>9990866.6744930986</v>
      </c>
      <c r="D106" s="20">
        <f t="shared" si="7"/>
        <v>16990.458156120811</v>
      </c>
      <c r="E106" s="20">
        <f t="shared" si="8"/>
        <v>54117.194486837623</v>
      </c>
      <c r="F106" s="20">
        <f t="shared" si="9"/>
        <v>71107.652642958434</v>
      </c>
      <c r="G106" s="20">
        <f t="shared" si="10"/>
        <v>9973876.2163369786</v>
      </c>
      <c r="H106" s="20">
        <f t="shared" si="12"/>
        <v>1276123.7836630188</v>
      </c>
      <c r="I106" s="20">
        <f t="shared" si="13"/>
        <v>5550210.8700609896</v>
      </c>
    </row>
    <row r="107" spans="1:9" x14ac:dyDescent="0.2">
      <c r="A107" s="24">
        <v>9</v>
      </c>
      <c r="B107" s="24">
        <v>1</v>
      </c>
      <c r="C107" s="20">
        <f t="shared" si="11"/>
        <v>9973876.2163369786</v>
      </c>
      <c r="D107" s="20">
        <f t="shared" si="7"/>
        <v>17082.489804466466</v>
      </c>
      <c r="E107" s="20">
        <f t="shared" si="8"/>
        <v>54025.162838491968</v>
      </c>
      <c r="F107" s="20">
        <f t="shared" si="9"/>
        <v>71107.652642958434</v>
      </c>
      <c r="G107" s="20">
        <f t="shared" si="10"/>
        <v>9956793.7265325114</v>
      </c>
      <c r="H107" s="20">
        <f t="shared" si="12"/>
        <v>1293206.2734674853</v>
      </c>
      <c r="I107" s="20">
        <f t="shared" si="13"/>
        <v>5604236.0328994812</v>
      </c>
    </row>
    <row r="108" spans="1:9" x14ac:dyDescent="0.2">
      <c r="A108" s="24">
        <v>9</v>
      </c>
      <c r="B108" s="24">
        <v>2</v>
      </c>
      <c r="C108" s="20">
        <f t="shared" si="11"/>
        <v>9956793.7265325114</v>
      </c>
      <c r="D108" s="20">
        <f t="shared" si="7"/>
        <v>17175.01995757399</v>
      </c>
      <c r="E108" s="20">
        <f t="shared" si="8"/>
        <v>53932.632685384444</v>
      </c>
      <c r="F108" s="20">
        <f t="shared" si="9"/>
        <v>71107.652642958434</v>
      </c>
      <c r="G108" s="20">
        <f t="shared" si="10"/>
        <v>9939618.7065749373</v>
      </c>
      <c r="H108" s="20">
        <f t="shared" si="12"/>
        <v>1310381.2934250594</v>
      </c>
      <c r="I108" s="20">
        <f t="shared" si="13"/>
        <v>5658168.665584866</v>
      </c>
    </row>
    <row r="109" spans="1:9" x14ac:dyDescent="0.2">
      <c r="A109" s="24">
        <v>9</v>
      </c>
      <c r="B109" s="24">
        <v>3</v>
      </c>
      <c r="C109" s="20">
        <f t="shared" si="11"/>
        <v>9939618.7065749373</v>
      </c>
      <c r="D109" s="20">
        <f t="shared" si="7"/>
        <v>17268.05131567752</v>
      </c>
      <c r="E109" s="20">
        <f t="shared" si="8"/>
        <v>53839.601327280914</v>
      </c>
      <c r="F109" s="20">
        <f t="shared" si="9"/>
        <v>71107.652642958434</v>
      </c>
      <c r="G109" s="20">
        <f t="shared" si="10"/>
        <v>9922350.655259259</v>
      </c>
      <c r="H109" s="20">
        <f t="shared" si="12"/>
        <v>1327649.344740737</v>
      </c>
      <c r="I109" s="20">
        <f t="shared" si="13"/>
        <v>5712008.2669121465</v>
      </c>
    </row>
    <row r="110" spans="1:9" x14ac:dyDescent="0.2">
      <c r="A110" s="24">
        <v>9</v>
      </c>
      <c r="B110" s="24">
        <v>4</v>
      </c>
      <c r="C110" s="20">
        <f t="shared" si="11"/>
        <v>9922350.655259259</v>
      </c>
      <c r="D110" s="20">
        <f t="shared" si="7"/>
        <v>17361.586593637439</v>
      </c>
      <c r="E110" s="20">
        <f t="shared" si="8"/>
        <v>53746.066049320994</v>
      </c>
      <c r="F110" s="20">
        <f t="shared" si="9"/>
        <v>71107.652642958434</v>
      </c>
      <c r="G110" s="20">
        <f t="shared" si="10"/>
        <v>9904989.0686656218</v>
      </c>
      <c r="H110" s="20">
        <f t="shared" si="12"/>
        <v>1345010.9313343745</v>
      </c>
      <c r="I110" s="20">
        <f t="shared" si="13"/>
        <v>5765754.3329614671</v>
      </c>
    </row>
    <row r="111" spans="1:9" x14ac:dyDescent="0.2">
      <c r="A111" s="24">
        <v>9</v>
      </c>
      <c r="B111" s="24">
        <v>5</v>
      </c>
      <c r="C111" s="20">
        <f t="shared" si="11"/>
        <v>9904989.0686656218</v>
      </c>
      <c r="D111" s="20">
        <f t="shared" si="7"/>
        <v>17455.628521019644</v>
      </c>
      <c r="E111" s="20">
        <f t="shared" si="8"/>
        <v>53652.02412193879</v>
      </c>
      <c r="F111" s="20">
        <f t="shared" si="9"/>
        <v>71107.652642958434</v>
      </c>
      <c r="G111" s="20">
        <f t="shared" si="10"/>
        <v>9887533.4401446022</v>
      </c>
      <c r="H111" s="20">
        <f t="shared" si="12"/>
        <v>1362466.5598553941</v>
      </c>
      <c r="I111" s="20">
        <f t="shared" si="13"/>
        <v>5819406.3570834063</v>
      </c>
    </row>
    <row r="112" spans="1:9" x14ac:dyDescent="0.2">
      <c r="A112" s="24">
        <v>9</v>
      </c>
      <c r="B112" s="24">
        <v>6</v>
      </c>
      <c r="C112" s="20">
        <f t="shared" si="11"/>
        <v>9887533.4401446022</v>
      </c>
      <c r="D112" s="20">
        <f t="shared" si="7"/>
        <v>17550.179842175174</v>
      </c>
      <c r="E112" s="20">
        <f t="shared" si="8"/>
        <v>53557.47280078326</v>
      </c>
      <c r="F112" s="20">
        <f t="shared" si="9"/>
        <v>71107.652642958434</v>
      </c>
      <c r="G112" s="20">
        <f t="shared" si="10"/>
        <v>9869983.2603024263</v>
      </c>
      <c r="H112" s="20">
        <f t="shared" si="12"/>
        <v>1380016.7396975693</v>
      </c>
      <c r="I112" s="20">
        <f t="shared" si="13"/>
        <v>5872963.8298841892</v>
      </c>
    </row>
    <row r="113" spans="1:9" x14ac:dyDescent="0.2">
      <c r="A113" s="24">
        <v>9</v>
      </c>
      <c r="B113" s="24">
        <v>7</v>
      </c>
      <c r="C113" s="20">
        <f t="shared" si="11"/>
        <v>9869983.2603024263</v>
      </c>
      <c r="D113" s="20">
        <f t="shared" si="7"/>
        <v>17645.243316320288</v>
      </c>
      <c r="E113" s="20">
        <f t="shared" si="8"/>
        <v>53462.409326638146</v>
      </c>
      <c r="F113" s="20">
        <f t="shared" si="9"/>
        <v>71107.652642958434</v>
      </c>
      <c r="G113" s="20">
        <f t="shared" si="10"/>
        <v>9852338.0169861056</v>
      </c>
      <c r="H113" s="20">
        <f t="shared" si="12"/>
        <v>1397661.9830138895</v>
      </c>
      <c r="I113" s="20">
        <f t="shared" si="13"/>
        <v>5926426.2392108273</v>
      </c>
    </row>
    <row r="114" spans="1:9" x14ac:dyDescent="0.2">
      <c r="A114" s="24">
        <v>9</v>
      </c>
      <c r="B114" s="24">
        <v>8</v>
      </c>
      <c r="C114" s="20">
        <f t="shared" si="11"/>
        <v>9852338.0169861056</v>
      </c>
      <c r="D114" s="20">
        <f t="shared" si="7"/>
        <v>17740.821717617029</v>
      </c>
      <c r="E114" s="20">
        <f t="shared" si="8"/>
        <v>53366.830925341405</v>
      </c>
      <c r="F114" s="20">
        <f t="shared" si="9"/>
        <v>71107.652642958434</v>
      </c>
      <c r="G114" s="20">
        <f t="shared" si="10"/>
        <v>9834597.1952684894</v>
      </c>
      <c r="H114" s="20">
        <f t="shared" si="12"/>
        <v>1415402.8047315066</v>
      </c>
      <c r="I114" s="20">
        <f t="shared" si="13"/>
        <v>5979793.070136169</v>
      </c>
    </row>
    <row r="115" spans="1:9" x14ac:dyDescent="0.2">
      <c r="A115" s="24">
        <v>9</v>
      </c>
      <c r="B115" s="24">
        <v>9</v>
      </c>
      <c r="C115" s="20">
        <f t="shared" si="11"/>
        <v>9834597.1952684894</v>
      </c>
      <c r="D115" s="20">
        <f t="shared" si="7"/>
        <v>17836.917835254113</v>
      </c>
      <c r="E115" s="20">
        <f t="shared" si="8"/>
        <v>53270.734807704321</v>
      </c>
      <c r="F115" s="20">
        <f t="shared" si="9"/>
        <v>71107.652642958434</v>
      </c>
      <c r="G115" s="20">
        <f t="shared" si="10"/>
        <v>9816760.2774332352</v>
      </c>
      <c r="H115" s="20">
        <f t="shared" si="12"/>
        <v>1433239.7225667608</v>
      </c>
      <c r="I115" s="20">
        <f t="shared" si="13"/>
        <v>6033063.8049438735</v>
      </c>
    </row>
    <row r="116" spans="1:9" x14ac:dyDescent="0.2">
      <c r="A116" s="24">
        <v>9</v>
      </c>
      <c r="B116" s="24">
        <v>10</v>
      </c>
      <c r="C116" s="20">
        <f t="shared" si="11"/>
        <v>9816760.2774332352</v>
      </c>
      <c r="D116" s="20">
        <f t="shared" si="7"/>
        <v>17933.534473528409</v>
      </c>
      <c r="E116" s="20">
        <f t="shared" si="8"/>
        <v>53174.118169430025</v>
      </c>
      <c r="F116" s="20">
        <f t="shared" si="9"/>
        <v>71107.652642958434</v>
      </c>
      <c r="G116" s="20">
        <f t="shared" si="10"/>
        <v>9798826.7429597061</v>
      </c>
      <c r="H116" s="20">
        <f t="shared" si="12"/>
        <v>1451173.2570402892</v>
      </c>
      <c r="I116" s="20">
        <f t="shared" si="13"/>
        <v>6086237.9231133033</v>
      </c>
    </row>
    <row r="117" spans="1:9" x14ac:dyDescent="0.2">
      <c r="A117" s="24">
        <v>9</v>
      </c>
      <c r="B117" s="24">
        <v>11</v>
      </c>
      <c r="C117" s="20">
        <f t="shared" si="11"/>
        <v>9798826.7429597061</v>
      </c>
      <c r="D117" s="20">
        <f t="shared" si="7"/>
        <v>18030.674451926687</v>
      </c>
      <c r="E117" s="20">
        <f t="shared" si="8"/>
        <v>53076.978191031747</v>
      </c>
      <c r="F117" s="20">
        <f t="shared" si="9"/>
        <v>71107.652642958434</v>
      </c>
      <c r="G117" s="20">
        <f t="shared" si="10"/>
        <v>9780796.0685077794</v>
      </c>
      <c r="H117" s="20">
        <f t="shared" si="12"/>
        <v>1469203.931492216</v>
      </c>
      <c r="I117" s="20">
        <f t="shared" si="13"/>
        <v>6139314.9013043353</v>
      </c>
    </row>
    <row r="118" spans="1:9" x14ac:dyDescent="0.2">
      <c r="A118" s="24">
        <v>9</v>
      </c>
      <c r="B118" s="24">
        <v>12</v>
      </c>
      <c r="C118" s="20">
        <f t="shared" si="11"/>
        <v>9780796.0685077794</v>
      </c>
      <c r="D118" s="20">
        <f t="shared" si="7"/>
        <v>18128.340605207959</v>
      </c>
      <c r="E118" s="20">
        <f t="shared" si="8"/>
        <v>52979.312037750475</v>
      </c>
      <c r="F118" s="20">
        <f t="shared" si="9"/>
        <v>71107.652642958434</v>
      </c>
      <c r="G118" s="20">
        <f t="shared" si="10"/>
        <v>9762667.7279025707</v>
      </c>
      <c r="H118" s="20">
        <f t="shared" si="12"/>
        <v>1487332.2720974239</v>
      </c>
      <c r="I118" s="20">
        <f t="shared" si="13"/>
        <v>6192294.2133420855</v>
      </c>
    </row>
    <row r="119" spans="1:9" x14ac:dyDescent="0.2">
      <c r="A119" s="24">
        <v>10</v>
      </c>
      <c r="B119" s="24">
        <v>1</v>
      </c>
      <c r="C119" s="20">
        <f t="shared" si="11"/>
        <v>9762667.7279025707</v>
      </c>
      <c r="D119" s="20">
        <f t="shared" si="7"/>
        <v>18226.535783486172</v>
      </c>
      <c r="E119" s="20">
        <f t="shared" si="8"/>
        <v>52881.116859472262</v>
      </c>
      <c r="F119" s="20">
        <f t="shared" si="9"/>
        <v>71107.652642958434</v>
      </c>
      <c r="G119" s="20">
        <f t="shared" si="10"/>
        <v>9744441.1921190843</v>
      </c>
      <c r="H119" s="20">
        <f t="shared" si="12"/>
        <v>1505558.8078809101</v>
      </c>
      <c r="I119" s="20">
        <f t="shared" si="13"/>
        <v>6245175.3302015578</v>
      </c>
    </row>
    <row r="120" spans="1:9" x14ac:dyDescent="0.2">
      <c r="A120" s="24">
        <v>10</v>
      </c>
      <c r="B120" s="24">
        <v>2</v>
      </c>
      <c r="C120" s="20">
        <f t="shared" si="11"/>
        <v>9744441.1921190843</v>
      </c>
      <c r="D120" s="20">
        <f t="shared" si="7"/>
        <v>18325.26285231339</v>
      </c>
      <c r="E120" s="20">
        <f t="shared" si="8"/>
        <v>52782.389790645044</v>
      </c>
      <c r="F120" s="20">
        <f t="shared" si="9"/>
        <v>71107.652642958434</v>
      </c>
      <c r="G120" s="20">
        <f t="shared" si="10"/>
        <v>9726115.9292667713</v>
      </c>
      <c r="H120" s="20">
        <f t="shared" si="12"/>
        <v>1523884.0707332236</v>
      </c>
      <c r="I120" s="20">
        <f t="shared" si="13"/>
        <v>6297957.7199922027</v>
      </c>
    </row>
    <row r="121" spans="1:9" x14ac:dyDescent="0.2">
      <c r="A121" s="24">
        <v>10</v>
      </c>
      <c r="B121" s="24">
        <v>3</v>
      </c>
      <c r="C121" s="20">
        <f t="shared" si="11"/>
        <v>9726115.9292667713</v>
      </c>
      <c r="D121" s="20">
        <f t="shared" si="7"/>
        <v>18424.524692763422</v>
      </c>
      <c r="E121" s="20">
        <f t="shared" si="8"/>
        <v>52683.127950195012</v>
      </c>
      <c r="F121" s="20">
        <f t="shared" si="9"/>
        <v>71107.652642958434</v>
      </c>
      <c r="G121" s="20">
        <f t="shared" si="10"/>
        <v>9707691.4045740087</v>
      </c>
      <c r="H121" s="20">
        <f t="shared" si="12"/>
        <v>1542308.5954259869</v>
      </c>
      <c r="I121" s="20">
        <f t="shared" si="13"/>
        <v>6350640.8479423979</v>
      </c>
    </row>
    <row r="122" spans="1:9" x14ac:dyDescent="0.2">
      <c r="A122" s="24">
        <v>10</v>
      </c>
      <c r="B122" s="24">
        <v>4</v>
      </c>
      <c r="C122" s="20">
        <f t="shared" si="11"/>
        <v>9707691.4045740087</v>
      </c>
      <c r="D122" s="20">
        <f t="shared" si="7"/>
        <v>18524.324201515883</v>
      </c>
      <c r="E122" s="20">
        <f t="shared" si="8"/>
        <v>52583.328441442551</v>
      </c>
      <c r="F122" s="20">
        <f t="shared" si="9"/>
        <v>71107.652642958434</v>
      </c>
      <c r="G122" s="20">
        <f t="shared" si="10"/>
        <v>9689167.0803724919</v>
      </c>
      <c r="H122" s="20">
        <f t="shared" si="12"/>
        <v>1560832.9196275028</v>
      </c>
      <c r="I122" s="20">
        <f t="shared" si="13"/>
        <v>6403224.1763838409</v>
      </c>
    </row>
    <row r="123" spans="1:9" x14ac:dyDescent="0.2">
      <c r="A123" s="24">
        <v>10</v>
      </c>
      <c r="B123" s="24">
        <v>5</v>
      </c>
      <c r="C123" s="20">
        <f t="shared" si="11"/>
        <v>9689167.0803724919</v>
      </c>
      <c r="D123" s="20">
        <f t="shared" si="7"/>
        <v>18624.664290940775</v>
      </c>
      <c r="E123" s="20">
        <f t="shared" si="8"/>
        <v>52482.988352017659</v>
      </c>
      <c r="F123" s="20">
        <f t="shared" si="9"/>
        <v>71107.652642958434</v>
      </c>
      <c r="G123" s="20">
        <f t="shared" si="10"/>
        <v>9670542.4160815515</v>
      </c>
      <c r="H123" s="20">
        <f t="shared" si="12"/>
        <v>1579457.5839184436</v>
      </c>
      <c r="I123" s="20">
        <f t="shared" si="13"/>
        <v>6455707.1647358583</v>
      </c>
    </row>
    <row r="124" spans="1:9" x14ac:dyDescent="0.2">
      <c r="A124" s="24">
        <v>10</v>
      </c>
      <c r="B124" s="24">
        <v>6</v>
      </c>
      <c r="C124" s="20">
        <f t="shared" si="11"/>
        <v>9670542.4160815515</v>
      </c>
      <c r="D124" s="20">
        <f t="shared" si="7"/>
        <v>18725.547889183355</v>
      </c>
      <c r="E124" s="20">
        <f t="shared" si="8"/>
        <v>52382.104753775078</v>
      </c>
      <c r="F124" s="20">
        <f t="shared" si="9"/>
        <v>71107.652642958434</v>
      </c>
      <c r="G124" s="20">
        <f t="shared" si="10"/>
        <v>9651816.8681923673</v>
      </c>
      <c r="H124" s="20">
        <f t="shared" si="12"/>
        <v>1598183.1318076269</v>
      </c>
      <c r="I124" s="20">
        <f t="shared" si="13"/>
        <v>6508089.2694896339</v>
      </c>
    </row>
    <row r="125" spans="1:9" x14ac:dyDescent="0.2">
      <c r="A125" s="24">
        <v>10</v>
      </c>
      <c r="B125" s="24">
        <v>7</v>
      </c>
      <c r="C125" s="20">
        <f t="shared" si="11"/>
        <v>9651816.8681923673</v>
      </c>
      <c r="D125" s="20">
        <f t="shared" si="7"/>
        <v>18826.977940249773</v>
      </c>
      <c r="E125" s="20">
        <f t="shared" si="8"/>
        <v>52280.67470270866</v>
      </c>
      <c r="F125" s="20">
        <f t="shared" si="9"/>
        <v>71107.652642958434</v>
      </c>
      <c r="G125" s="20">
        <f t="shared" si="10"/>
        <v>9632989.8902521171</v>
      </c>
      <c r="H125" s="20">
        <f t="shared" si="12"/>
        <v>1617010.1097478766</v>
      </c>
      <c r="I125" s="20">
        <f t="shared" si="13"/>
        <v>6560369.9441923425</v>
      </c>
    </row>
    <row r="126" spans="1:9" x14ac:dyDescent="0.2">
      <c r="A126" s="24">
        <v>10</v>
      </c>
      <c r="B126" s="24">
        <v>8</v>
      </c>
      <c r="C126" s="20">
        <f t="shared" si="11"/>
        <v>9632989.8902521171</v>
      </c>
      <c r="D126" s="20">
        <f t="shared" si="7"/>
        <v>18928.957404092791</v>
      </c>
      <c r="E126" s="20">
        <f t="shared" si="8"/>
        <v>52178.695238865643</v>
      </c>
      <c r="F126" s="20">
        <f t="shared" si="9"/>
        <v>71107.652642958434</v>
      </c>
      <c r="G126" s="20">
        <f t="shared" si="10"/>
        <v>9614060.9328480251</v>
      </c>
      <c r="H126" s="20">
        <f t="shared" si="12"/>
        <v>1635939.0671519695</v>
      </c>
      <c r="I126" s="20">
        <f t="shared" si="13"/>
        <v>6612548.6394312084</v>
      </c>
    </row>
    <row r="127" spans="1:9" x14ac:dyDescent="0.2">
      <c r="A127" s="24">
        <v>10</v>
      </c>
      <c r="B127" s="24">
        <v>9</v>
      </c>
      <c r="C127" s="20">
        <f t="shared" si="11"/>
        <v>9614060.9328480251</v>
      </c>
      <c r="D127" s="20">
        <f t="shared" si="7"/>
        <v>19031.489256698296</v>
      </c>
      <c r="E127" s="20">
        <f t="shared" si="8"/>
        <v>52076.163386260137</v>
      </c>
      <c r="F127" s="20">
        <f t="shared" si="9"/>
        <v>71107.652642958434</v>
      </c>
      <c r="G127" s="20">
        <f t="shared" si="10"/>
        <v>9595029.4435913265</v>
      </c>
      <c r="H127" s="20">
        <f t="shared" si="12"/>
        <v>1654970.5564086679</v>
      </c>
      <c r="I127" s="20">
        <f t="shared" si="13"/>
        <v>6664624.8028174685</v>
      </c>
    </row>
    <row r="128" spans="1:9" x14ac:dyDescent="0.2">
      <c r="A128" s="24">
        <v>10</v>
      </c>
      <c r="B128" s="24">
        <v>10</v>
      </c>
      <c r="C128" s="20">
        <f t="shared" si="11"/>
        <v>9595029.4435913265</v>
      </c>
      <c r="D128" s="20">
        <f t="shared" si="7"/>
        <v>19134.576490172083</v>
      </c>
      <c r="E128" s="20">
        <f t="shared" si="8"/>
        <v>51973.076152786351</v>
      </c>
      <c r="F128" s="20">
        <f t="shared" si="9"/>
        <v>71107.652642958434</v>
      </c>
      <c r="G128" s="20">
        <f t="shared" si="10"/>
        <v>9575894.8671011552</v>
      </c>
      <c r="H128" s="20">
        <f t="shared" si="12"/>
        <v>1674105.1328988401</v>
      </c>
      <c r="I128" s="20">
        <f t="shared" si="13"/>
        <v>6716597.8789702551</v>
      </c>
    </row>
    <row r="129" spans="1:9" x14ac:dyDescent="0.2">
      <c r="A129" s="24">
        <v>10</v>
      </c>
      <c r="B129" s="24">
        <v>11</v>
      </c>
      <c r="C129" s="20">
        <f t="shared" si="11"/>
        <v>9575894.8671011552</v>
      </c>
      <c r="D129" s="20">
        <f t="shared" si="7"/>
        <v>19238.22211282717</v>
      </c>
      <c r="E129" s="20">
        <f t="shared" si="8"/>
        <v>51869.430530131263</v>
      </c>
      <c r="F129" s="20">
        <f t="shared" si="9"/>
        <v>71107.652642958434</v>
      </c>
      <c r="G129" s="20">
        <f t="shared" si="10"/>
        <v>9556656.6449883282</v>
      </c>
      <c r="H129" s="20">
        <f t="shared" si="12"/>
        <v>1693343.3550116674</v>
      </c>
      <c r="I129" s="20">
        <f t="shared" si="13"/>
        <v>6768467.309500386</v>
      </c>
    </row>
    <row r="130" spans="1:9" x14ac:dyDescent="0.2">
      <c r="A130" s="24">
        <v>10</v>
      </c>
      <c r="B130" s="24">
        <v>12</v>
      </c>
      <c r="C130" s="20">
        <f t="shared" si="11"/>
        <v>9556656.6449883282</v>
      </c>
      <c r="D130" s="20">
        <f t="shared" si="7"/>
        <v>19342.429149271651</v>
      </c>
      <c r="E130" s="20">
        <f t="shared" si="8"/>
        <v>51765.223493686783</v>
      </c>
      <c r="F130" s="20">
        <f t="shared" si="9"/>
        <v>71107.652642958434</v>
      </c>
      <c r="G130" s="20">
        <f t="shared" si="10"/>
        <v>9537314.2158390563</v>
      </c>
      <c r="H130" s="20">
        <f t="shared" si="12"/>
        <v>1712685.784160939</v>
      </c>
      <c r="I130" s="20">
        <f t="shared" si="13"/>
        <v>6820232.5329940729</v>
      </c>
    </row>
    <row r="131" spans="1:9" x14ac:dyDescent="0.2">
      <c r="A131" s="24">
        <v>11</v>
      </c>
      <c r="B131" s="24">
        <v>1</v>
      </c>
      <c r="C131" s="20">
        <f t="shared" si="11"/>
        <v>9537314.2158390563</v>
      </c>
      <c r="D131" s="20">
        <f t="shared" si="7"/>
        <v>19447.200640496878</v>
      </c>
      <c r="E131" s="20">
        <f t="shared" si="8"/>
        <v>51660.452002461556</v>
      </c>
      <c r="F131" s="20">
        <f t="shared" si="9"/>
        <v>71107.652642958434</v>
      </c>
      <c r="G131" s="20">
        <f t="shared" si="10"/>
        <v>9517867.0151985586</v>
      </c>
      <c r="H131" s="20">
        <f t="shared" si="12"/>
        <v>1732132.9848014358</v>
      </c>
      <c r="I131" s="20">
        <f t="shared" si="13"/>
        <v>6871892.9849965349</v>
      </c>
    </row>
    <row r="132" spans="1:9" x14ac:dyDescent="0.2">
      <c r="A132" s="24">
        <v>11</v>
      </c>
      <c r="B132" s="24">
        <v>2</v>
      </c>
      <c r="C132" s="20">
        <f t="shared" si="11"/>
        <v>9517867.0151985586</v>
      </c>
      <c r="D132" s="20">
        <f t="shared" si="7"/>
        <v>19552.539643966236</v>
      </c>
      <c r="E132" s="20">
        <f t="shared" si="8"/>
        <v>51555.112998992197</v>
      </c>
      <c r="F132" s="20">
        <f t="shared" si="9"/>
        <v>71107.652642958434</v>
      </c>
      <c r="G132" s="20">
        <f t="shared" si="10"/>
        <v>9498314.4755545929</v>
      </c>
      <c r="H132" s="20">
        <f t="shared" si="12"/>
        <v>1751685.524445402</v>
      </c>
      <c r="I132" s="20">
        <f t="shared" si="13"/>
        <v>6923448.0979955271</v>
      </c>
    </row>
    <row r="133" spans="1:9" x14ac:dyDescent="0.2">
      <c r="A133" s="24">
        <v>11</v>
      </c>
      <c r="B133" s="24">
        <v>3</v>
      </c>
      <c r="C133" s="20">
        <f t="shared" si="11"/>
        <v>9498314.4755545929</v>
      </c>
      <c r="D133" s="20">
        <f t="shared" si="7"/>
        <v>19658.449233704385</v>
      </c>
      <c r="E133" s="20">
        <f t="shared" si="8"/>
        <v>51449.203409254049</v>
      </c>
      <c r="F133" s="20">
        <f t="shared" si="9"/>
        <v>71107.652642958434</v>
      </c>
      <c r="G133" s="20">
        <f t="shared" si="10"/>
        <v>9478656.0263208877</v>
      </c>
      <c r="H133" s="20">
        <f t="shared" si="12"/>
        <v>1771343.9736791064</v>
      </c>
      <c r="I133" s="20">
        <f t="shared" si="13"/>
        <v>6974897.3014047807</v>
      </c>
    </row>
    <row r="134" spans="1:9" x14ac:dyDescent="0.2">
      <c r="A134" s="24">
        <v>11</v>
      </c>
      <c r="B134" s="24">
        <v>4</v>
      </c>
      <c r="C134" s="20">
        <f t="shared" si="11"/>
        <v>9478656.0263208877</v>
      </c>
      <c r="D134" s="20">
        <f t="shared" si="7"/>
        <v>19764.932500386953</v>
      </c>
      <c r="E134" s="20">
        <f t="shared" si="8"/>
        <v>51342.720142571481</v>
      </c>
      <c r="F134" s="20">
        <f t="shared" si="9"/>
        <v>71107.652642958434</v>
      </c>
      <c r="G134" s="20">
        <f t="shared" si="10"/>
        <v>9458891.0938205011</v>
      </c>
      <c r="H134" s="20">
        <f t="shared" si="12"/>
        <v>1791108.9061794933</v>
      </c>
      <c r="I134" s="20">
        <f t="shared" si="13"/>
        <v>7026240.021547352</v>
      </c>
    </row>
    <row r="135" spans="1:9" x14ac:dyDescent="0.2">
      <c r="A135" s="24">
        <v>11</v>
      </c>
      <c r="B135" s="24">
        <v>5</v>
      </c>
      <c r="C135" s="20">
        <f t="shared" si="11"/>
        <v>9458891.0938205011</v>
      </c>
      <c r="D135" s="20">
        <f t="shared" si="7"/>
        <v>19871.992551430718</v>
      </c>
      <c r="E135" s="20">
        <f t="shared" si="8"/>
        <v>51235.660091527716</v>
      </c>
      <c r="F135" s="20">
        <f t="shared" si="9"/>
        <v>71107.652642958434</v>
      </c>
      <c r="G135" s="20">
        <f t="shared" si="10"/>
        <v>9439019.1012690701</v>
      </c>
      <c r="H135" s="20">
        <f t="shared" si="12"/>
        <v>1810980.8987309241</v>
      </c>
      <c r="I135" s="20">
        <f t="shared" si="13"/>
        <v>7077475.6816388797</v>
      </c>
    </row>
    <row r="136" spans="1:9" x14ac:dyDescent="0.2">
      <c r="A136" s="24">
        <v>11</v>
      </c>
      <c r="B136" s="24">
        <v>6</v>
      </c>
      <c r="C136" s="20">
        <f t="shared" si="11"/>
        <v>9439019.1012690701</v>
      </c>
      <c r="D136" s="20">
        <f t="shared" si="7"/>
        <v>19979.632511084303</v>
      </c>
      <c r="E136" s="20">
        <f t="shared" si="8"/>
        <v>51128.020131874131</v>
      </c>
      <c r="F136" s="20">
        <f t="shared" si="9"/>
        <v>71107.652642958434</v>
      </c>
      <c r="G136" s="20">
        <f t="shared" si="10"/>
        <v>9419039.4687579852</v>
      </c>
      <c r="H136" s="20">
        <f t="shared" si="12"/>
        <v>1830960.5312420083</v>
      </c>
      <c r="I136" s="20">
        <f t="shared" si="13"/>
        <v>7128603.7017707536</v>
      </c>
    </row>
    <row r="137" spans="1:9" x14ac:dyDescent="0.2">
      <c r="A137" s="24">
        <v>11</v>
      </c>
      <c r="B137" s="24">
        <v>7</v>
      </c>
      <c r="C137" s="20">
        <f t="shared" si="11"/>
        <v>9419039.4687579852</v>
      </c>
      <c r="D137" s="20">
        <f t="shared" si="7"/>
        <v>20087.855520519348</v>
      </c>
      <c r="E137" s="20">
        <f t="shared" si="8"/>
        <v>51019.797122439086</v>
      </c>
      <c r="F137" s="20">
        <f t="shared" si="9"/>
        <v>71107.652642958434</v>
      </c>
      <c r="G137" s="20">
        <f t="shared" si="10"/>
        <v>9398951.6132374667</v>
      </c>
      <c r="H137" s="20">
        <f t="shared" si="12"/>
        <v>1851048.3867625277</v>
      </c>
      <c r="I137" s="20">
        <f t="shared" si="13"/>
        <v>7179623.498893193</v>
      </c>
    </row>
    <row r="138" spans="1:9" x14ac:dyDescent="0.2">
      <c r="A138" s="24">
        <v>11</v>
      </c>
      <c r="B138" s="24">
        <v>8</v>
      </c>
      <c r="C138" s="20">
        <f t="shared" si="11"/>
        <v>9398951.6132374667</v>
      </c>
      <c r="D138" s="20">
        <f t="shared" si="7"/>
        <v>20196.664737922154</v>
      </c>
      <c r="E138" s="20">
        <f t="shared" si="8"/>
        <v>50910.98790503628</v>
      </c>
      <c r="F138" s="20">
        <f t="shared" si="9"/>
        <v>71107.652642958434</v>
      </c>
      <c r="G138" s="20">
        <f t="shared" si="10"/>
        <v>9378754.9484995436</v>
      </c>
      <c r="H138" s="20">
        <f t="shared" si="12"/>
        <v>1871245.0515004499</v>
      </c>
      <c r="I138" s="20">
        <f t="shared" si="13"/>
        <v>7230534.4867982296</v>
      </c>
    </row>
    <row r="139" spans="1:9" x14ac:dyDescent="0.2">
      <c r="A139" s="24">
        <v>11</v>
      </c>
      <c r="B139" s="24">
        <v>9</v>
      </c>
      <c r="C139" s="20">
        <f t="shared" si="11"/>
        <v>9378754.9484995436</v>
      </c>
      <c r="D139" s="20">
        <f t="shared" ref="D139:D202" si="14">Monthly_Payment-E139</f>
        <v>20306.063338585904</v>
      </c>
      <c r="E139" s="20">
        <f t="shared" ref="E139:E202" si="15">C139*Interest_Rate/12</f>
        <v>50801.58930437253</v>
      </c>
      <c r="F139" s="20">
        <f t="shared" ref="F139:F202" si="16">Monthly_Payment</f>
        <v>71107.652642958434</v>
      </c>
      <c r="G139" s="20">
        <f t="shared" ref="G139:G202" si="17">C139-D139</f>
        <v>9358448.8851609584</v>
      </c>
      <c r="H139" s="20">
        <f t="shared" si="12"/>
        <v>1891551.1148390358</v>
      </c>
      <c r="I139" s="20">
        <f t="shared" si="13"/>
        <v>7281336.0761026023</v>
      </c>
    </row>
    <row r="140" spans="1:9" x14ac:dyDescent="0.2">
      <c r="A140" s="24">
        <v>11</v>
      </c>
      <c r="B140" s="24">
        <v>10</v>
      </c>
      <c r="C140" s="20">
        <f t="shared" ref="C140:C203" si="18">G139</f>
        <v>9358448.8851609584</v>
      </c>
      <c r="D140" s="20">
        <f t="shared" si="14"/>
        <v>20416.054515003241</v>
      </c>
      <c r="E140" s="20">
        <f t="shared" si="15"/>
        <v>50691.598127955192</v>
      </c>
      <c r="F140" s="20">
        <f t="shared" si="16"/>
        <v>71107.652642958434</v>
      </c>
      <c r="G140" s="20">
        <f t="shared" si="17"/>
        <v>9338032.8306459542</v>
      </c>
      <c r="H140" s="20">
        <f t="shared" ref="H140:H203" si="19">H139+D140</f>
        <v>1911967.169354039</v>
      </c>
      <c r="I140" s="20">
        <f t="shared" ref="I140:I203" si="20">I139+E140</f>
        <v>7332027.6742305579</v>
      </c>
    </row>
    <row r="141" spans="1:9" x14ac:dyDescent="0.2">
      <c r="A141" s="24">
        <v>11</v>
      </c>
      <c r="B141" s="24">
        <v>11</v>
      </c>
      <c r="C141" s="20">
        <f t="shared" si="18"/>
        <v>9338032.8306459542</v>
      </c>
      <c r="D141" s="20">
        <f t="shared" si="14"/>
        <v>20526.641476959507</v>
      </c>
      <c r="E141" s="20">
        <f t="shared" si="15"/>
        <v>50581.011165998927</v>
      </c>
      <c r="F141" s="20">
        <f t="shared" si="16"/>
        <v>71107.652642958434</v>
      </c>
      <c r="G141" s="20">
        <f t="shared" si="17"/>
        <v>9317506.1891689952</v>
      </c>
      <c r="H141" s="20">
        <f t="shared" si="19"/>
        <v>1932493.8108309985</v>
      </c>
      <c r="I141" s="20">
        <f t="shared" si="20"/>
        <v>7382608.6853965567</v>
      </c>
    </row>
    <row r="142" spans="1:9" x14ac:dyDescent="0.2">
      <c r="A142" s="24">
        <v>11</v>
      </c>
      <c r="B142" s="24">
        <v>12</v>
      </c>
      <c r="C142" s="20">
        <f t="shared" si="18"/>
        <v>9317506.1891689952</v>
      </c>
      <c r="D142" s="20">
        <f t="shared" si="14"/>
        <v>20637.827451626377</v>
      </c>
      <c r="E142" s="20">
        <f t="shared" si="15"/>
        <v>50469.825191332056</v>
      </c>
      <c r="F142" s="20">
        <f t="shared" si="16"/>
        <v>71107.652642958434</v>
      </c>
      <c r="G142" s="20">
        <f t="shared" si="17"/>
        <v>9296868.3617173694</v>
      </c>
      <c r="H142" s="20">
        <f t="shared" si="19"/>
        <v>1953131.6382826248</v>
      </c>
      <c r="I142" s="20">
        <f t="shared" si="20"/>
        <v>7433078.5105878888</v>
      </c>
    </row>
    <row r="143" spans="1:9" x14ac:dyDescent="0.2">
      <c r="A143" s="24">
        <v>12</v>
      </c>
      <c r="B143" s="24">
        <v>1</v>
      </c>
      <c r="C143" s="20">
        <f t="shared" si="18"/>
        <v>9296868.3617173694</v>
      </c>
      <c r="D143" s="20">
        <f t="shared" si="14"/>
        <v>20749.615683656019</v>
      </c>
      <c r="E143" s="20">
        <f t="shared" si="15"/>
        <v>50358.036959302415</v>
      </c>
      <c r="F143" s="20">
        <f t="shared" si="16"/>
        <v>71107.652642958434</v>
      </c>
      <c r="G143" s="20">
        <f t="shared" si="17"/>
        <v>9276118.7460337132</v>
      </c>
      <c r="H143" s="20">
        <f t="shared" si="19"/>
        <v>1973881.2539662807</v>
      </c>
      <c r="I143" s="20">
        <f t="shared" si="20"/>
        <v>7483436.5475471914</v>
      </c>
    </row>
    <row r="144" spans="1:9" x14ac:dyDescent="0.2">
      <c r="A144" s="24">
        <v>12</v>
      </c>
      <c r="B144" s="24">
        <v>2</v>
      </c>
      <c r="C144" s="20">
        <f t="shared" si="18"/>
        <v>9276118.7460337132</v>
      </c>
      <c r="D144" s="20">
        <f t="shared" si="14"/>
        <v>20862.009435275817</v>
      </c>
      <c r="E144" s="20">
        <f t="shared" si="15"/>
        <v>50245.643207682617</v>
      </c>
      <c r="F144" s="20">
        <f t="shared" si="16"/>
        <v>71107.652642958434</v>
      </c>
      <c r="G144" s="20">
        <f t="shared" si="17"/>
        <v>9255256.7365984377</v>
      </c>
      <c r="H144" s="20">
        <f t="shared" si="19"/>
        <v>1994743.2634015565</v>
      </c>
      <c r="I144" s="20">
        <f t="shared" si="20"/>
        <v>7533682.1907548737</v>
      </c>
    </row>
    <row r="145" spans="1:9" x14ac:dyDescent="0.2">
      <c r="A145" s="24">
        <v>12</v>
      </c>
      <c r="B145" s="24">
        <v>3</v>
      </c>
      <c r="C145" s="20">
        <f t="shared" si="18"/>
        <v>9255256.7365984377</v>
      </c>
      <c r="D145" s="20">
        <f t="shared" si="14"/>
        <v>20975.011986383564</v>
      </c>
      <c r="E145" s="20">
        <f t="shared" si="15"/>
        <v>50132.640656574869</v>
      </c>
      <c r="F145" s="20">
        <f t="shared" si="16"/>
        <v>71107.652642958434</v>
      </c>
      <c r="G145" s="20">
        <f t="shared" si="17"/>
        <v>9234281.7246120535</v>
      </c>
      <c r="H145" s="20">
        <f t="shared" si="19"/>
        <v>2015718.27538794</v>
      </c>
      <c r="I145" s="20">
        <f t="shared" si="20"/>
        <v>7583814.8314114483</v>
      </c>
    </row>
    <row r="146" spans="1:9" x14ac:dyDescent="0.2">
      <c r="A146" s="24">
        <v>12</v>
      </c>
      <c r="B146" s="24">
        <v>4</v>
      </c>
      <c r="C146" s="20">
        <f t="shared" si="18"/>
        <v>9234281.7246120535</v>
      </c>
      <c r="D146" s="20">
        <f t="shared" si="14"/>
        <v>21088.626634643144</v>
      </c>
      <c r="E146" s="20">
        <f t="shared" si="15"/>
        <v>50019.02600831529</v>
      </c>
      <c r="F146" s="20">
        <f t="shared" si="16"/>
        <v>71107.652642958434</v>
      </c>
      <c r="G146" s="20">
        <f t="shared" si="17"/>
        <v>9213193.097977411</v>
      </c>
      <c r="H146" s="20">
        <f t="shared" si="19"/>
        <v>2036806.9020225832</v>
      </c>
      <c r="I146" s="20">
        <f t="shared" si="20"/>
        <v>7633833.8574197637</v>
      </c>
    </row>
    <row r="147" spans="1:9" x14ac:dyDescent="0.2">
      <c r="A147" s="24">
        <v>12</v>
      </c>
      <c r="B147" s="24">
        <v>5</v>
      </c>
      <c r="C147" s="20">
        <f t="shared" si="18"/>
        <v>9213193.097977411</v>
      </c>
      <c r="D147" s="20">
        <f t="shared" si="14"/>
        <v>21202.856695580784</v>
      </c>
      <c r="E147" s="20">
        <f t="shared" si="15"/>
        <v>49904.79594737765</v>
      </c>
      <c r="F147" s="20">
        <f t="shared" si="16"/>
        <v>71107.652642958434</v>
      </c>
      <c r="G147" s="20">
        <f t="shared" si="17"/>
        <v>9191990.2412818298</v>
      </c>
      <c r="H147" s="20">
        <f t="shared" si="19"/>
        <v>2058009.7587181639</v>
      </c>
      <c r="I147" s="20">
        <f t="shared" si="20"/>
        <v>7683738.6533671413</v>
      </c>
    </row>
    <row r="148" spans="1:9" x14ac:dyDescent="0.2">
      <c r="A148" s="24">
        <v>12</v>
      </c>
      <c r="B148" s="24">
        <v>6</v>
      </c>
      <c r="C148" s="20">
        <f t="shared" si="18"/>
        <v>9191990.2412818298</v>
      </c>
      <c r="D148" s="20">
        <f t="shared" si="14"/>
        <v>21317.705502681856</v>
      </c>
      <c r="E148" s="20">
        <f t="shared" si="15"/>
        <v>49789.947140276578</v>
      </c>
      <c r="F148" s="20">
        <f t="shared" si="16"/>
        <v>71107.652642958434</v>
      </c>
      <c r="G148" s="20">
        <f t="shared" si="17"/>
        <v>9170672.5357791483</v>
      </c>
      <c r="H148" s="20">
        <f t="shared" si="19"/>
        <v>2079327.4642208458</v>
      </c>
      <c r="I148" s="20">
        <f t="shared" si="20"/>
        <v>7733528.6005074177</v>
      </c>
    </row>
    <row r="149" spans="1:9" x14ac:dyDescent="0.2">
      <c r="A149" s="24">
        <v>12</v>
      </c>
      <c r="B149" s="24">
        <v>7</v>
      </c>
      <c r="C149" s="20">
        <f t="shared" si="18"/>
        <v>9170672.5357791483</v>
      </c>
      <c r="D149" s="20">
        <f t="shared" si="14"/>
        <v>21433.176407488048</v>
      </c>
      <c r="E149" s="20">
        <f t="shared" si="15"/>
        <v>49674.476235470385</v>
      </c>
      <c r="F149" s="20">
        <f t="shared" si="16"/>
        <v>71107.652642958434</v>
      </c>
      <c r="G149" s="20">
        <f t="shared" si="17"/>
        <v>9149239.3593716603</v>
      </c>
      <c r="H149" s="20">
        <f t="shared" si="19"/>
        <v>2100760.6406283337</v>
      </c>
      <c r="I149" s="20">
        <f t="shared" si="20"/>
        <v>7783203.0767428884</v>
      </c>
    </row>
    <row r="150" spans="1:9" x14ac:dyDescent="0.2">
      <c r="A150" s="24">
        <v>12</v>
      </c>
      <c r="B150" s="24">
        <v>8</v>
      </c>
      <c r="C150" s="20">
        <f t="shared" si="18"/>
        <v>9149239.3593716603</v>
      </c>
      <c r="D150" s="20">
        <f t="shared" si="14"/>
        <v>21549.272779695268</v>
      </c>
      <c r="E150" s="20">
        <f t="shared" si="15"/>
        <v>49558.379863263166</v>
      </c>
      <c r="F150" s="20">
        <f t="shared" si="16"/>
        <v>71107.652642958434</v>
      </c>
      <c r="G150" s="20">
        <f t="shared" si="17"/>
        <v>9127690.0865919646</v>
      </c>
      <c r="H150" s="20">
        <f t="shared" si="19"/>
        <v>2122309.9134080289</v>
      </c>
      <c r="I150" s="20">
        <f t="shared" si="20"/>
        <v>7832761.4566061515</v>
      </c>
    </row>
    <row r="151" spans="1:9" x14ac:dyDescent="0.2">
      <c r="A151" s="24">
        <v>12</v>
      </c>
      <c r="B151" s="24">
        <v>9</v>
      </c>
      <c r="C151" s="20">
        <f t="shared" si="18"/>
        <v>9127690.0865919646</v>
      </c>
      <c r="D151" s="20">
        <f t="shared" si="14"/>
        <v>21665.998007251954</v>
      </c>
      <c r="E151" s="20">
        <f t="shared" si="15"/>
        <v>49441.65463570648</v>
      </c>
      <c r="F151" s="20">
        <f t="shared" si="16"/>
        <v>71107.652642958434</v>
      </c>
      <c r="G151" s="20">
        <f t="shared" si="17"/>
        <v>9106024.0885847118</v>
      </c>
      <c r="H151" s="20">
        <f t="shared" si="19"/>
        <v>2143975.9114152808</v>
      </c>
      <c r="I151" s="20">
        <f t="shared" si="20"/>
        <v>7882203.1112418585</v>
      </c>
    </row>
    <row r="152" spans="1:9" x14ac:dyDescent="0.2">
      <c r="A152" s="24">
        <v>12</v>
      </c>
      <c r="B152" s="24">
        <v>10</v>
      </c>
      <c r="C152" s="20">
        <f t="shared" si="18"/>
        <v>9106024.0885847118</v>
      </c>
      <c r="D152" s="20">
        <f t="shared" si="14"/>
        <v>21783.355496457909</v>
      </c>
      <c r="E152" s="20">
        <f t="shared" si="15"/>
        <v>49324.297146500525</v>
      </c>
      <c r="F152" s="20">
        <f t="shared" si="16"/>
        <v>71107.652642958434</v>
      </c>
      <c r="G152" s="20">
        <f t="shared" si="17"/>
        <v>9084240.7330882531</v>
      </c>
      <c r="H152" s="20">
        <f t="shared" si="19"/>
        <v>2165759.2669117386</v>
      </c>
      <c r="I152" s="20">
        <f t="shared" si="20"/>
        <v>7931527.4083883585</v>
      </c>
    </row>
    <row r="153" spans="1:9" x14ac:dyDescent="0.2">
      <c r="A153" s="24">
        <v>12</v>
      </c>
      <c r="B153" s="24">
        <v>11</v>
      </c>
      <c r="C153" s="20">
        <f t="shared" si="18"/>
        <v>9084240.7330882531</v>
      </c>
      <c r="D153" s="20">
        <f t="shared" si="14"/>
        <v>21901.348672063723</v>
      </c>
      <c r="E153" s="20">
        <f t="shared" si="15"/>
        <v>49206.303970894711</v>
      </c>
      <c r="F153" s="20">
        <f t="shared" si="16"/>
        <v>71107.652642958434</v>
      </c>
      <c r="G153" s="20">
        <f t="shared" si="17"/>
        <v>9062339.384416189</v>
      </c>
      <c r="H153" s="20">
        <f t="shared" si="19"/>
        <v>2187660.6155838021</v>
      </c>
      <c r="I153" s="20">
        <f t="shared" si="20"/>
        <v>7980733.7123592533</v>
      </c>
    </row>
    <row r="154" spans="1:9" x14ac:dyDescent="0.2">
      <c r="A154" s="24">
        <v>12</v>
      </c>
      <c r="B154" s="24">
        <v>12</v>
      </c>
      <c r="C154" s="20">
        <f t="shared" si="18"/>
        <v>9062339.384416189</v>
      </c>
      <c r="D154" s="20">
        <f t="shared" si="14"/>
        <v>22019.980977370738</v>
      </c>
      <c r="E154" s="20">
        <f t="shared" si="15"/>
        <v>49087.671665587695</v>
      </c>
      <c r="F154" s="20">
        <f t="shared" si="16"/>
        <v>71107.652642958434</v>
      </c>
      <c r="G154" s="20">
        <f t="shared" si="17"/>
        <v>9040319.4034388177</v>
      </c>
      <c r="H154" s="20">
        <f t="shared" si="19"/>
        <v>2209680.596561173</v>
      </c>
      <c r="I154" s="20">
        <f t="shared" si="20"/>
        <v>8029821.3840248408</v>
      </c>
    </row>
    <row r="155" spans="1:9" x14ac:dyDescent="0.2">
      <c r="A155" s="24">
        <v>13</v>
      </c>
      <c r="B155" s="24">
        <v>1</v>
      </c>
      <c r="C155" s="20">
        <f t="shared" si="18"/>
        <v>9040319.4034388177</v>
      </c>
      <c r="D155" s="20">
        <f t="shared" si="14"/>
        <v>22139.255874331502</v>
      </c>
      <c r="E155" s="20">
        <f t="shared" si="15"/>
        <v>48968.396768626932</v>
      </c>
      <c r="F155" s="20">
        <f t="shared" si="16"/>
        <v>71107.652642958434</v>
      </c>
      <c r="G155" s="20">
        <f t="shared" si="17"/>
        <v>9018180.1475644857</v>
      </c>
      <c r="H155" s="20">
        <f t="shared" si="19"/>
        <v>2231819.8524355046</v>
      </c>
      <c r="I155" s="20">
        <f t="shared" si="20"/>
        <v>8078789.7807934675</v>
      </c>
    </row>
    <row r="156" spans="1:9" x14ac:dyDescent="0.2">
      <c r="A156" s="24">
        <v>13</v>
      </c>
      <c r="B156" s="24">
        <v>2</v>
      </c>
      <c r="C156" s="20">
        <f t="shared" si="18"/>
        <v>9018180.1475644857</v>
      </c>
      <c r="D156" s="20">
        <f t="shared" si="14"/>
        <v>22259.176843650799</v>
      </c>
      <c r="E156" s="20">
        <f t="shared" si="15"/>
        <v>48848.475799307635</v>
      </c>
      <c r="F156" s="20">
        <f t="shared" si="16"/>
        <v>71107.652642958434</v>
      </c>
      <c r="G156" s="20">
        <f t="shared" si="17"/>
        <v>8995920.970720835</v>
      </c>
      <c r="H156" s="20">
        <f t="shared" si="19"/>
        <v>2254079.0292791552</v>
      </c>
      <c r="I156" s="20">
        <f t="shared" si="20"/>
        <v>8127638.2565927748</v>
      </c>
    </row>
    <row r="157" spans="1:9" x14ac:dyDescent="0.2">
      <c r="A157" s="24">
        <v>13</v>
      </c>
      <c r="B157" s="24">
        <v>3</v>
      </c>
      <c r="C157" s="20">
        <f t="shared" si="18"/>
        <v>8995920.970720835</v>
      </c>
      <c r="D157" s="20">
        <f t="shared" si="14"/>
        <v>22379.74738488724</v>
      </c>
      <c r="E157" s="20">
        <f t="shared" si="15"/>
        <v>48727.905258071194</v>
      </c>
      <c r="F157" s="20">
        <f t="shared" si="16"/>
        <v>71107.652642958434</v>
      </c>
      <c r="G157" s="20">
        <f t="shared" si="17"/>
        <v>8973541.2233359478</v>
      </c>
      <c r="H157" s="20">
        <f t="shared" si="19"/>
        <v>2276458.7766640424</v>
      </c>
      <c r="I157" s="20">
        <f t="shared" si="20"/>
        <v>8176366.1618508464</v>
      </c>
    </row>
    <row r="158" spans="1:9" x14ac:dyDescent="0.2">
      <c r="A158" s="24">
        <v>13</v>
      </c>
      <c r="B158" s="24">
        <v>4</v>
      </c>
      <c r="C158" s="20">
        <f t="shared" si="18"/>
        <v>8973541.2233359478</v>
      </c>
      <c r="D158" s="20">
        <f t="shared" si="14"/>
        <v>22500.971016555377</v>
      </c>
      <c r="E158" s="20">
        <f t="shared" si="15"/>
        <v>48606.681626403057</v>
      </c>
      <c r="F158" s="20">
        <f t="shared" si="16"/>
        <v>71107.652642958434</v>
      </c>
      <c r="G158" s="20">
        <f t="shared" si="17"/>
        <v>8951040.2523193918</v>
      </c>
      <c r="H158" s="20">
        <f t="shared" si="19"/>
        <v>2298959.7476805979</v>
      </c>
      <c r="I158" s="20">
        <f t="shared" si="20"/>
        <v>8224972.8434772491</v>
      </c>
    </row>
    <row r="159" spans="1:9" x14ac:dyDescent="0.2">
      <c r="A159" s="24">
        <v>13</v>
      </c>
      <c r="B159" s="24">
        <v>5</v>
      </c>
      <c r="C159" s="20">
        <f t="shared" si="18"/>
        <v>8951040.2523193918</v>
      </c>
      <c r="D159" s="20">
        <f t="shared" si="14"/>
        <v>22622.851276228394</v>
      </c>
      <c r="E159" s="20">
        <f t="shared" si="15"/>
        <v>48484.80136673004</v>
      </c>
      <c r="F159" s="20">
        <f t="shared" si="16"/>
        <v>71107.652642958434</v>
      </c>
      <c r="G159" s="20">
        <f t="shared" si="17"/>
        <v>8928417.4010431636</v>
      </c>
      <c r="H159" s="20">
        <f t="shared" si="19"/>
        <v>2321582.5989568261</v>
      </c>
      <c r="I159" s="20">
        <f t="shared" si="20"/>
        <v>8273457.6448439788</v>
      </c>
    </row>
    <row r="160" spans="1:9" x14ac:dyDescent="0.2">
      <c r="A160" s="24">
        <v>13</v>
      </c>
      <c r="B160" s="24">
        <v>6</v>
      </c>
      <c r="C160" s="20">
        <f t="shared" si="18"/>
        <v>8928417.4010431636</v>
      </c>
      <c r="D160" s="20">
        <f t="shared" si="14"/>
        <v>22745.391720641295</v>
      </c>
      <c r="E160" s="20">
        <f t="shared" si="15"/>
        <v>48362.260922317138</v>
      </c>
      <c r="F160" s="20">
        <f t="shared" si="16"/>
        <v>71107.652642958434</v>
      </c>
      <c r="G160" s="20">
        <f t="shared" si="17"/>
        <v>8905672.0093225222</v>
      </c>
      <c r="H160" s="20">
        <f t="shared" si="19"/>
        <v>2344327.9906774675</v>
      </c>
      <c r="I160" s="20">
        <f t="shared" si="20"/>
        <v>8321819.9057662962</v>
      </c>
    </row>
    <row r="161" spans="1:9" x14ac:dyDescent="0.2">
      <c r="A161" s="24">
        <v>13</v>
      </c>
      <c r="B161" s="24">
        <v>7</v>
      </c>
      <c r="C161" s="20">
        <f t="shared" si="18"/>
        <v>8905672.0093225222</v>
      </c>
      <c r="D161" s="20">
        <f t="shared" si="14"/>
        <v>22868.595925794776</v>
      </c>
      <c r="E161" s="20">
        <f t="shared" si="15"/>
        <v>48239.056717163658</v>
      </c>
      <c r="F161" s="20">
        <f t="shared" si="16"/>
        <v>71107.652642958434</v>
      </c>
      <c r="G161" s="20">
        <f t="shared" si="17"/>
        <v>8882803.4133967273</v>
      </c>
      <c r="H161" s="20">
        <f t="shared" si="19"/>
        <v>2367196.5866032625</v>
      </c>
      <c r="I161" s="20">
        <f t="shared" si="20"/>
        <v>8370058.9624834601</v>
      </c>
    </row>
    <row r="162" spans="1:9" x14ac:dyDescent="0.2">
      <c r="A162" s="24">
        <v>13</v>
      </c>
      <c r="B162" s="24">
        <v>8</v>
      </c>
      <c r="C162" s="20">
        <f t="shared" si="18"/>
        <v>8882803.4133967273</v>
      </c>
      <c r="D162" s="20">
        <f t="shared" si="14"/>
        <v>22992.46748705949</v>
      </c>
      <c r="E162" s="20">
        <f t="shared" si="15"/>
        <v>48115.185155898944</v>
      </c>
      <c r="F162" s="20">
        <f t="shared" si="16"/>
        <v>71107.652642958434</v>
      </c>
      <c r="G162" s="20">
        <f t="shared" si="17"/>
        <v>8859810.9459096678</v>
      </c>
      <c r="H162" s="20">
        <f t="shared" si="19"/>
        <v>2390189.054090322</v>
      </c>
      <c r="I162" s="20">
        <f t="shared" si="20"/>
        <v>8418174.1476393584</v>
      </c>
    </row>
    <row r="163" spans="1:9" x14ac:dyDescent="0.2">
      <c r="A163" s="24">
        <v>13</v>
      </c>
      <c r="B163" s="24">
        <v>9</v>
      </c>
      <c r="C163" s="20">
        <f t="shared" si="18"/>
        <v>8859810.9459096678</v>
      </c>
      <c r="D163" s="20">
        <f t="shared" si="14"/>
        <v>23117.010019281071</v>
      </c>
      <c r="E163" s="20">
        <f t="shared" si="15"/>
        <v>47990.642623677362</v>
      </c>
      <c r="F163" s="20">
        <f t="shared" si="16"/>
        <v>71107.652642958434</v>
      </c>
      <c r="G163" s="20">
        <f t="shared" si="17"/>
        <v>8836693.9358903859</v>
      </c>
      <c r="H163" s="20">
        <f t="shared" si="19"/>
        <v>2413306.0641096029</v>
      </c>
      <c r="I163" s="20">
        <f t="shared" si="20"/>
        <v>8466164.7902630363</v>
      </c>
    </row>
    <row r="164" spans="1:9" x14ac:dyDescent="0.2">
      <c r="A164" s="24">
        <v>13</v>
      </c>
      <c r="B164" s="24">
        <v>10</v>
      </c>
      <c r="C164" s="20">
        <f t="shared" si="18"/>
        <v>8836693.9358903859</v>
      </c>
      <c r="D164" s="20">
        <f t="shared" si="14"/>
        <v>23242.227156885507</v>
      </c>
      <c r="E164" s="20">
        <f t="shared" si="15"/>
        <v>47865.425486072927</v>
      </c>
      <c r="F164" s="20">
        <f t="shared" si="16"/>
        <v>71107.652642958434</v>
      </c>
      <c r="G164" s="20">
        <f t="shared" si="17"/>
        <v>8813451.7087335009</v>
      </c>
      <c r="H164" s="20">
        <f t="shared" si="19"/>
        <v>2436548.2912664884</v>
      </c>
      <c r="I164" s="20">
        <f t="shared" si="20"/>
        <v>8514030.2157491092</v>
      </c>
    </row>
    <row r="165" spans="1:9" x14ac:dyDescent="0.2">
      <c r="A165" s="24">
        <v>13</v>
      </c>
      <c r="B165" s="24">
        <v>11</v>
      </c>
      <c r="C165" s="20">
        <f t="shared" si="18"/>
        <v>8813451.7087335009</v>
      </c>
      <c r="D165" s="20">
        <f t="shared" si="14"/>
        <v>23368.122553985297</v>
      </c>
      <c r="E165" s="20">
        <f t="shared" si="15"/>
        <v>47739.530088973137</v>
      </c>
      <c r="F165" s="20">
        <f t="shared" si="16"/>
        <v>71107.652642958434</v>
      </c>
      <c r="G165" s="20">
        <f t="shared" si="17"/>
        <v>8790083.5861795153</v>
      </c>
      <c r="H165" s="20">
        <f t="shared" si="19"/>
        <v>2459916.4138204735</v>
      </c>
      <c r="I165" s="20">
        <f t="shared" si="20"/>
        <v>8561769.7458380815</v>
      </c>
    </row>
    <row r="166" spans="1:9" x14ac:dyDescent="0.2">
      <c r="A166" s="24">
        <v>13</v>
      </c>
      <c r="B166" s="24">
        <v>12</v>
      </c>
      <c r="C166" s="20">
        <f t="shared" si="18"/>
        <v>8790083.5861795153</v>
      </c>
      <c r="D166" s="20">
        <f t="shared" si="14"/>
        <v>23494.699884486057</v>
      </c>
      <c r="E166" s="20">
        <f t="shared" si="15"/>
        <v>47612.952758472376</v>
      </c>
      <c r="F166" s="20">
        <f t="shared" si="16"/>
        <v>71107.652642958434</v>
      </c>
      <c r="G166" s="20">
        <f t="shared" si="17"/>
        <v>8766588.8862950299</v>
      </c>
      <c r="H166" s="20">
        <f t="shared" si="19"/>
        <v>2483411.1137049594</v>
      </c>
      <c r="I166" s="20">
        <f t="shared" si="20"/>
        <v>8609382.6985965539</v>
      </c>
    </row>
    <row r="167" spans="1:9" x14ac:dyDescent="0.2">
      <c r="A167" s="24">
        <v>14</v>
      </c>
      <c r="B167" s="24">
        <v>1</v>
      </c>
      <c r="C167" s="20">
        <f t="shared" si="18"/>
        <v>8766588.8862950299</v>
      </c>
      <c r="D167" s="20">
        <f t="shared" si="14"/>
        <v>23621.962842193687</v>
      </c>
      <c r="E167" s="20">
        <f t="shared" si="15"/>
        <v>47485.689800764747</v>
      </c>
      <c r="F167" s="20">
        <f t="shared" si="16"/>
        <v>71107.652642958434</v>
      </c>
      <c r="G167" s="20">
        <f t="shared" si="17"/>
        <v>8742966.9234528355</v>
      </c>
      <c r="H167" s="20">
        <f t="shared" si="19"/>
        <v>2507033.0765471533</v>
      </c>
      <c r="I167" s="20">
        <f t="shared" si="20"/>
        <v>8656868.3883973192</v>
      </c>
    </row>
    <row r="168" spans="1:9" x14ac:dyDescent="0.2">
      <c r="A168" s="24">
        <v>14</v>
      </c>
      <c r="B168" s="24">
        <v>2</v>
      </c>
      <c r="C168" s="20">
        <f t="shared" si="18"/>
        <v>8742966.9234528355</v>
      </c>
      <c r="D168" s="20">
        <f t="shared" si="14"/>
        <v>23749.915140922247</v>
      </c>
      <c r="E168" s="20">
        <f t="shared" si="15"/>
        <v>47357.737502036187</v>
      </c>
      <c r="F168" s="20">
        <f t="shared" si="16"/>
        <v>71107.652642958434</v>
      </c>
      <c r="G168" s="20">
        <f t="shared" si="17"/>
        <v>8719217.0083119124</v>
      </c>
      <c r="H168" s="20">
        <f t="shared" si="19"/>
        <v>2530782.9916880755</v>
      </c>
      <c r="I168" s="20">
        <f t="shared" si="20"/>
        <v>8704226.1258993559</v>
      </c>
    </row>
    <row r="169" spans="1:9" x14ac:dyDescent="0.2">
      <c r="A169" s="24">
        <v>14</v>
      </c>
      <c r="B169" s="24">
        <v>3</v>
      </c>
      <c r="C169" s="20">
        <f t="shared" si="18"/>
        <v>8719217.0083119124</v>
      </c>
      <c r="D169" s="20">
        <f t="shared" si="14"/>
        <v>23878.560514602243</v>
      </c>
      <c r="E169" s="20">
        <f t="shared" si="15"/>
        <v>47229.092128356191</v>
      </c>
      <c r="F169" s="20">
        <f t="shared" si="16"/>
        <v>71107.652642958434</v>
      </c>
      <c r="G169" s="20">
        <f t="shared" si="17"/>
        <v>8695338.4477973096</v>
      </c>
      <c r="H169" s="20">
        <f t="shared" si="19"/>
        <v>2554661.5522026778</v>
      </c>
      <c r="I169" s="20">
        <f t="shared" si="20"/>
        <v>8751455.2180277128</v>
      </c>
    </row>
    <row r="170" spans="1:9" x14ac:dyDescent="0.2">
      <c r="A170" s="24">
        <v>14</v>
      </c>
      <c r="B170" s="24">
        <v>4</v>
      </c>
      <c r="C170" s="20">
        <f t="shared" si="18"/>
        <v>8695338.4477973096</v>
      </c>
      <c r="D170" s="20">
        <f t="shared" si="14"/>
        <v>24007.902717389676</v>
      </c>
      <c r="E170" s="20">
        <f t="shared" si="15"/>
        <v>47099.749925568758</v>
      </c>
      <c r="F170" s="20">
        <f t="shared" si="16"/>
        <v>71107.652642958434</v>
      </c>
      <c r="G170" s="20">
        <f t="shared" si="17"/>
        <v>8671330.5450799204</v>
      </c>
      <c r="H170" s="20">
        <f t="shared" si="19"/>
        <v>2578669.4549200675</v>
      </c>
      <c r="I170" s="20">
        <f t="shared" si="20"/>
        <v>8798554.9679532815</v>
      </c>
    </row>
    <row r="171" spans="1:9" x14ac:dyDescent="0.2">
      <c r="A171" s="24">
        <v>14</v>
      </c>
      <c r="B171" s="24">
        <v>5</v>
      </c>
      <c r="C171" s="20">
        <f t="shared" si="18"/>
        <v>8671330.5450799204</v>
      </c>
      <c r="D171" s="20">
        <f t="shared" si="14"/>
        <v>24137.945523775525</v>
      </c>
      <c r="E171" s="20">
        <f t="shared" si="15"/>
        <v>46969.707119182909</v>
      </c>
      <c r="F171" s="20">
        <f t="shared" si="16"/>
        <v>71107.652642958434</v>
      </c>
      <c r="G171" s="20">
        <f t="shared" si="17"/>
        <v>8647192.5995561443</v>
      </c>
      <c r="H171" s="20">
        <f t="shared" si="19"/>
        <v>2602807.4004438431</v>
      </c>
      <c r="I171" s="20">
        <f t="shared" si="20"/>
        <v>8845524.6750724651</v>
      </c>
    </row>
    <row r="172" spans="1:9" x14ac:dyDescent="0.2">
      <c r="A172" s="24">
        <v>14</v>
      </c>
      <c r="B172" s="24">
        <v>6</v>
      </c>
      <c r="C172" s="20">
        <f t="shared" si="18"/>
        <v>8647192.5995561443</v>
      </c>
      <c r="D172" s="20">
        <f t="shared" si="14"/>
        <v>24268.692728695991</v>
      </c>
      <c r="E172" s="20">
        <f t="shared" si="15"/>
        <v>46838.959914262443</v>
      </c>
      <c r="F172" s="20">
        <f t="shared" si="16"/>
        <v>71107.652642958434</v>
      </c>
      <c r="G172" s="20">
        <f t="shared" si="17"/>
        <v>8622923.9068274479</v>
      </c>
      <c r="H172" s="20">
        <f t="shared" si="19"/>
        <v>2627076.093172539</v>
      </c>
      <c r="I172" s="20">
        <f t="shared" si="20"/>
        <v>8892363.6349867284</v>
      </c>
    </row>
    <row r="173" spans="1:9" x14ac:dyDescent="0.2">
      <c r="A173" s="24">
        <v>14</v>
      </c>
      <c r="B173" s="24">
        <v>7</v>
      </c>
      <c r="C173" s="20">
        <f t="shared" si="18"/>
        <v>8622923.9068274479</v>
      </c>
      <c r="D173" s="20">
        <f t="shared" si="14"/>
        <v>24400.148147643093</v>
      </c>
      <c r="E173" s="20">
        <f t="shared" si="15"/>
        <v>46707.504495315341</v>
      </c>
      <c r="F173" s="20">
        <f t="shared" si="16"/>
        <v>71107.652642958434</v>
      </c>
      <c r="G173" s="20">
        <f t="shared" si="17"/>
        <v>8598523.7586798053</v>
      </c>
      <c r="H173" s="20">
        <f t="shared" si="19"/>
        <v>2651476.2413201821</v>
      </c>
      <c r="I173" s="20">
        <f t="shared" si="20"/>
        <v>8939071.1394820437</v>
      </c>
    </row>
    <row r="174" spans="1:9" x14ac:dyDescent="0.2">
      <c r="A174" s="24">
        <v>14</v>
      </c>
      <c r="B174" s="24">
        <v>8</v>
      </c>
      <c r="C174" s="20">
        <f t="shared" si="18"/>
        <v>8598523.7586798053</v>
      </c>
      <c r="D174" s="20">
        <f t="shared" si="14"/>
        <v>24532.315616776155</v>
      </c>
      <c r="E174" s="20">
        <f t="shared" si="15"/>
        <v>46575.337026182278</v>
      </c>
      <c r="F174" s="20">
        <f t="shared" si="16"/>
        <v>71107.652642958434</v>
      </c>
      <c r="G174" s="20">
        <f t="shared" si="17"/>
        <v>8573991.44306303</v>
      </c>
      <c r="H174" s="20">
        <f t="shared" si="19"/>
        <v>2676008.5569369583</v>
      </c>
      <c r="I174" s="20">
        <f t="shared" si="20"/>
        <v>8985646.4765082262</v>
      </c>
    </row>
    <row r="175" spans="1:9" x14ac:dyDescent="0.2">
      <c r="A175" s="24">
        <v>14</v>
      </c>
      <c r="B175" s="24">
        <v>9</v>
      </c>
      <c r="C175" s="20">
        <f t="shared" si="18"/>
        <v>8573991.44306303</v>
      </c>
      <c r="D175" s="20">
        <f t="shared" si="14"/>
        <v>24665.198993033686</v>
      </c>
      <c r="E175" s="20">
        <f t="shared" si="15"/>
        <v>46442.453649924748</v>
      </c>
      <c r="F175" s="20">
        <f t="shared" si="16"/>
        <v>71107.652642958434</v>
      </c>
      <c r="G175" s="20">
        <f t="shared" si="17"/>
        <v>8549326.2440699972</v>
      </c>
      <c r="H175" s="20">
        <f t="shared" si="19"/>
        <v>2700673.7559299921</v>
      </c>
      <c r="I175" s="20">
        <f t="shared" si="20"/>
        <v>9032088.9301581513</v>
      </c>
    </row>
    <row r="176" spans="1:9" x14ac:dyDescent="0.2">
      <c r="A176" s="24">
        <v>14</v>
      </c>
      <c r="B176" s="24">
        <v>10</v>
      </c>
      <c r="C176" s="20">
        <f t="shared" si="18"/>
        <v>8549326.2440699972</v>
      </c>
      <c r="D176" s="20">
        <f t="shared" si="14"/>
        <v>24798.802154245946</v>
      </c>
      <c r="E176" s="20">
        <f t="shared" si="15"/>
        <v>46308.850488712487</v>
      </c>
      <c r="F176" s="20">
        <f t="shared" si="16"/>
        <v>71107.652642958434</v>
      </c>
      <c r="G176" s="20">
        <f t="shared" si="17"/>
        <v>8524527.4419157505</v>
      </c>
      <c r="H176" s="20">
        <f t="shared" si="19"/>
        <v>2725472.5580842379</v>
      </c>
      <c r="I176" s="20">
        <f t="shared" si="20"/>
        <v>9078397.7806468643</v>
      </c>
    </row>
    <row r="177" spans="1:9" x14ac:dyDescent="0.2">
      <c r="A177" s="24">
        <v>14</v>
      </c>
      <c r="B177" s="24">
        <v>11</v>
      </c>
      <c r="C177" s="20">
        <f t="shared" si="18"/>
        <v>8524527.4419157505</v>
      </c>
      <c r="D177" s="20">
        <f t="shared" si="14"/>
        <v>24933.128999248111</v>
      </c>
      <c r="E177" s="20">
        <f t="shared" si="15"/>
        <v>46174.523643710323</v>
      </c>
      <c r="F177" s="20">
        <f t="shared" si="16"/>
        <v>71107.652642958434</v>
      </c>
      <c r="G177" s="20">
        <f t="shared" si="17"/>
        <v>8499594.3129165024</v>
      </c>
      <c r="H177" s="20">
        <f t="shared" si="19"/>
        <v>2750405.687083486</v>
      </c>
      <c r="I177" s="20">
        <f t="shared" si="20"/>
        <v>9124572.304290574</v>
      </c>
    </row>
    <row r="178" spans="1:9" x14ac:dyDescent="0.2">
      <c r="A178" s="24">
        <v>14</v>
      </c>
      <c r="B178" s="24">
        <v>12</v>
      </c>
      <c r="C178" s="20">
        <f t="shared" si="18"/>
        <v>8499594.3129165024</v>
      </c>
      <c r="D178" s="20">
        <f t="shared" si="14"/>
        <v>25068.183447994044</v>
      </c>
      <c r="E178" s="20">
        <f t="shared" si="15"/>
        <v>46039.469194964389</v>
      </c>
      <c r="F178" s="20">
        <f t="shared" si="16"/>
        <v>71107.652642958434</v>
      </c>
      <c r="G178" s="20">
        <f t="shared" si="17"/>
        <v>8474526.1294685081</v>
      </c>
      <c r="H178" s="20">
        <f t="shared" si="19"/>
        <v>2775473.8705314798</v>
      </c>
      <c r="I178" s="20">
        <f t="shared" si="20"/>
        <v>9170611.7734855376</v>
      </c>
    </row>
    <row r="179" spans="1:9" x14ac:dyDescent="0.2">
      <c r="A179" s="24">
        <v>15</v>
      </c>
      <c r="B179" s="24">
        <v>1</v>
      </c>
      <c r="C179" s="20">
        <f t="shared" si="18"/>
        <v>8474526.1294685081</v>
      </c>
      <c r="D179" s="20">
        <f t="shared" si="14"/>
        <v>25203.969441670677</v>
      </c>
      <c r="E179" s="20">
        <f t="shared" si="15"/>
        <v>45903.683201287757</v>
      </c>
      <c r="F179" s="20">
        <f t="shared" si="16"/>
        <v>71107.652642958434</v>
      </c>
      <c r="G179" s="20">
        <f t="shared" si="17"/>
        <v>8449322.1600268371</v>
      </c>
      <c r="H179" s="20">
        <f t="shared" si="19"/>
        <v>2800677.8399731503</v>
      </c>
      <c r="I179" s="20">
        <f t="shared" si="20"/>
        <v>9216515.4566868246</v>
      </c>
    </row>
    <row r="180" spans="1:9" x14ac:dyDescent="0.2">
      <c r="A180" s="24">
        <v>15</v>
      </c>
      <c r="B180" s="24">
        <v>2</v>
      </c>
      <c r="C180" s="20">
        <f t="shared" si="18"/>
        <v>8449322.1600268371</v>
      </c>
      <c r="D180" s="20">
        <f t="shared" si="14"/>
        <v>25340.490942813063</v>
      </c>
      <c r="E180" s="20">
        <f t="shared" si="15"/>
        <v>45767.161700145371</v>
      </c>
      <c r="F180" s="20">
        <f t="shared" si="16"/>
        <v>71107.652642958434</v>
      </c>
      <c r="G180" s="20">
        <f t="shared" si="17"/>
        <v>8423981.6690840237</v>
      </c>
      <c r="H180" s="20">
        <f t="shared" si="19"/>
        <v>2826018.3309159633</v>
      </c>
      <c r="I180" s="20">
        <f t="shared" si="20"/>
        <v>9262282.6183869708</v>
      </c>
    </row>
    <row r="181" spans="1:9" x14ac:dyDescent="0.2">
      <c r="A181" s="24">
        <v>15</v>
      </c>
      <c r="B181" s="24">
        <v>3</v>
      </c>
      <c r="C181" s="20">
        <f t="shared" si="18"/>
        <v>8423981.6690840237</v>
      </c>
      <c r="D181" s="20">
        <f t="shared" si="14"/>
        <v>25477.751935419969</v>
      </c>
      <c r="E181" s="20">
        <f t="shared" si="15"/>
        <v>45629.900707538465</v>
      </c>
      <c r="F181" s="20">
        <f t="shared" si="16"/>
        <v>71107.652642958434</v>
      </c>
      <c r="G181" s="20">
        <f t="shared" si="17"/>
        <v>8398503.9171486031</v>
      </c>
      <c r="H181" s="20">
        <f t="shared" si="19"/>
        <v>2851496.0828513834</v>
      </c>
      <c r="I181" s="20">
        <f t="shared" si="20"/>
        <v>9307912.51909451</v>
      </c>
    </row>
    <row r="182" spans="1:9" x14ac:dyDescent="0.2">
      <c r="A182" s="24">
        <v>15</v>
      </c>
      <c r="B182" s="24">
        <v>4</v>
      </c>
      <c r="C182" s="20">
        <f t="shared" si="18"/>
        <v>8398503.9171486031</v>
      </c>
      <c r="D182" s="20">
        <f t="shared" si="14"/>
        <v>25615.756425070162</v>
      </c>
      <c r="E182" s="20">
        <f t="shared" si="15"/>
        <v>45491.896217888272</v>
      </c>
      <c r="F182" s="20">
        <f t="shared" si="16"/>
        <v>71107.652642958434</v>
      </c>
      <c r="G182" s="20">
        <f t="shared" si="17"/>
        <v>8372888.1607235326</v>
      </c>
      <c r="H182" s="20">
        <f t="shared" si="19"/>
        <v>2877111.8392764535</v>
      </c>
      <c r="I182" s="20">
        <f t="shared" si="20"/>
        <v>9353404.4153123982</v>
      </c>
    </row>
    <row r="183" spans="1:9" x14ac:dyDescent="0.2">
      <c r="A183" s="24">
        <v>15</v>
      </c>
      <c r="B183" s="24">
        <v>5</v>
      </c>
      <c r="C183" s="20">
        <f t="shared" si="18"/>
        <v>8372888.1607235326</v>
      </c>
      <c r="D183" s="20">
        <f t="shared" si="14"/>
        <v>25754.508439039302</v>
      </c>
      <c r="E183" s="20">
        <f t="shared" si="15"/>
        <v>45353.144203919132</v>
      </c>
      <c r="F183" s="20">
        <f t="shared" si="16"/>
        <v>71107.652642958434</v>
      </c>
      <c r="G183" s="20">
        <f t="shared" si="17"/>
        <v>8347133.6522844937</v>
      </c>
      <c r="H183" s="20">
        <f t="shared" si="19"/>
        <v>2902866.3477154928</v>
      </c>
      <c r="I183" s="20">
        <f t="shared" si="20"/>
        <v>9398757.5595163181</v>
      </c>
    </row>
    <row r="184" spans="1:9" x14ac:dyDescent="0.2">
      <c r="A184" s="24">
        <v>15</v>
      </c>
      <c r="B184" s="24">
        <v>6</v>
      </c>
      <c r="C184" s="20">
        <f t="shared" si="18"/>
        <v>8347133.6522844937</v>
      </c>
      <c r="D184" s="20">
        <f t="shared" si="14"/>
        <v>25894.012026417426</v>
      </c>
      <c r="E184" s="20">
        <f t="shared" si="15"/>
        <v>45213.640616541008</v>
      </c>
      <c r="F184" s="20">
        <f t="shared" si="16"/>
        <v>71107.652642958434</v>
      </c>
      <c r="G184" s="20">
        <f t="shared" si="17"/>
        <v>8321239.6402580766</v>
      </c>
      <c r="H184" s="20">
        <f t="shared" si="19"/>
        <v>2928760.3597419104</v>
      </c>
      <c r="I184" s="20">
        <f t="shared" si="20"/>
        <v>9443971.2001328599</v>
      </c>
    </row>
    <row r="185" spans="1:9" x14ac:dyDescent="0.2">
      <c r="A185" s="24">
        <v>15</v>
      </c>
      <c r="B185" s="24">
        <v>7</v>
      </c>
      <c r="C185" s="20">
        <f t="shared" si="18"/>
        <v>8321239.6402580766</v>
      </c>
      <c r="D185" s="20">
        <f t="shared" si="14"/>
        <v>26034.271258227185</v>
      </c>
      <c r="E185" s="20">
        <f t="shared" si="15"/>
        <v>45073.381384731249</v>
      </c>
      <c r="F185" s="20">
        <f t="shared" si="16"/>
        <v>71107.652642958434</v>
      </c>
      <c r="G185" s="20">
        <f t="shared" si="17"/>
        <v>8295205.3689998491</v>
      </c>
      <c r="H185" s="20">
        <f t="shared" si="19"/>
        <v>2954794.6310001374</v>
      </c>
      <c r="I185" s="20">
        <f t="shared" si="20"/>
        <v>9489044.5815175902</v>
      </c>
    </row>
    <row r="186" spans="1:9" x14ac:dyDescent="0.2">
      <c r="A186" s="24">
        <v>15</v>
      </c>
      <c r="B186" s="24">
        <v>8</v>
      </c>
      <c r="C186" s="20">
        <f t="shared" si="18"/>
        <v>8295205.3689998491</v>
      </c>
      <c r="D186" s="20">
        <f t="shared" si="14"/>
        <v>26175.290227542588</v>
      </c>
      <c r="E186" s="20">
        <f t="shared" si="15"/>
        <v>44932.362415415846</v>
      </c>
      <c r="F186" s="20">
        <f t="shared" si="16"/>
        <v>71107.652642958434</v>
      </c>
      <c r="G186" s="20">
        <f t="shared" si="17"/>
        <v>8269030.0787723064</v>
      </c>
      <c r="H186" s="20">
        <f t="shared" si="19"/>
        <v>2980969.9212276801</v>
      </c>
      <c r="I186" s="20">
        <f t="shared" si="20"/>
        <v>9533976.9439330064</v>
      </c>
    </row>
    <row r="187" spans="1:9" x14ac:dyDescent="0.2">
      <c r="A187" s="24">
        <v>15</v>
      </c>
      <c r="B187" s="24">
        <v>9</v>
      </c>
      <c r="C187" s="20">
        <f t="shared" si="18"/>
        <v>8269030.0787723064</v>
      </c>
      <c r="D187" s="20">
        <f t="shared" si="14"/>
        <v>26317.073049608436</v>
      </c>
      <c r="E187" s="20">
        <f t="shared" si="15"/>
        <v>44790.579593349998</v>
      </c>
      <c r="F187" s="20">
        <f t="shared" si="16"/>
        <v>71107.652642958434</v>
      </c>
      <c r="G187" s="20">
        <f t="shared" si="17"/>
        <v>8242713.0057226978</v>
      </c>
      <c r="H187" s="20">
        <f t="shared" si="19"/>
        <v>3007286.9942772887</v>
      </c>
      <c r="I187" s="20">
        <f t="shared" si="20"/>
        <v>9578767.5235263556</v>
      </c>
    </row>
    <row r="188" spans="1:9" x14ac:dyDescent="0.2">
      <c r="A188" s="24">
        <v>15</v>
      </c>
      <c r="B188" s="24">
        <v>10</v>
      </c>
      <c r="C188" s="20">
        <f t="shared" si="18"/>
        <v>8242713.0057226978</v>
      </c>
      <c r="D188" s="20">
        <f t="shared" si="14"/>
        <v>26459.623861960492</v>
      </c>
      <c r="E188" s="20">
        <f t="shared" si="15"/>
        <v>44648.028780997942</v>
      </c>
      <c r="F188" s="20">
        <f t="shared" si="16"/>
        <v>71107.652642958434</v>
      </c>
      <c r="G188" s="20">
        <f t="shared" si="17"/>
        <v>8216253.3818607377</v>
      </c>
      <c r="H188" s="20">
        <f t="shared" si="19"/>
        <v>3033746.6181392493</v>
      </c>
      <c r="I188" s="20">
        <f t="shared" si="20"/>
        <v>9623415.5523073543</v>
      </c>
    </row>
    <row r="189" spans="1:9" x14ac:dyDescent="0.2">
      <c r="A189" s="24">
        <v>15</v>
      </c>
      <c r="B189" s="24">
        <v>11</v>
      </c>
      <c r="C189" s="20">
        <f t="shared" si="18"/>
        <v>8216253.3818607377</v>
      </c>
      <c r="D189" s="20">
        <f t="shared" si="14"/>
        <v>26602.946824546103</v>
      </c>
      <c r="E189" s="20">
        <f t="shared" si="15"/>
        <v>44504.705818412331</v>
      </c>
      <c r="F189" s="20">
        <f t="shared" si="16"/>
        <v>71107.652642958434</v>
      </c>
      <c r="G189" s="20">
        <f t="shared" si="17"/>
        <v>8189650.4350361917</v>
      </c>
      <c r="H189" s="20">
        <f t="shared" si="19"/>
        <v>3060349.5649637952</v>
      </c>
      <c r="I189" s="20">
        <f t="shared" si="20"/>
        <v>9667920.2581257671</v>
      </c>
    </row>
    <row r="190" spans="1:9" x14ac:dyDescent="0.2">
      <c r="A190" s="24">
        <v>15</v>
      </c>
      <c r="B190" s="24">
        <v>12</v>
      </c>
      <c r="C190" s="20">
        <f t="shared" si="18"/>
        <v>8189650.4350361917</v>
      </c>
      <c r="D190" s="20">
        <f t="shared" si="14"/>
        <v>26747.046119845727</v>
      </c>
      <c r="E190" s="20">
        <f t="shared" si="15"/>
        <v>44360.606523112707</v>
      </c>
      <c r="F190" s="20">
        <f t="shared" si="16"/>
        <v>71107.652642958434</v>
      </c>
      <c r="G190" s="20">
        <f t="shared" si="17"/>
        <v>8162903.3889163462</v>
      </c>
      <c r="H190" s="20">
        <f t="shared" si="19"/>
        <v>3087096.6110836412</v>
      </c>
      <c r="I190" s="20">
        <f t="shared" si="20"/>
        <v>9712280.8646488804</v>
      </c>
    </row>
    <row r="191" spans="1:9" x14ac:dyDescent="0.2">
      <c r="A191" s="24">
        <v>16</v>
      </c>
      <c r="B191" s="24">
        <v>1</v>
      </c>
      <c r="C191" s="20">
        <f t="shared" si="18"/>
        <v>8162903.3889163462</v>
      </c>
      <c r="D191" s="20">
        <f t="shared" si="14"/>
        <v>26891.92595299489</v>
      </c>
      <c r="E191" s="20">
        <f t="shared" si="15"/>
        <v>44215.726689963543</v>
      </c>
      <c r="F191" s="20">
        <f t="shared" si="16"/>
        <v>71107.652642958434</v>
      </c>
      <c r="G191" s="20">
        <f t="shared" si="17"/>
        <v>8136011.462963351</v>
      </c>
      <c r="H191" s="20">
        <f t="shared" si="19"/>
        <v>3113988.5370366359</v>
      </c>
      <c r="I191" s="20">
        <f t="shared" si="20"/>
        <v>9756496.5913388431</v>
      </c>
    </row>
    <row r="192" spans="1:9" x14ac:dyDescent="0.2">
      <c r="A192" s="24">
        <v>16</v>
      </c>
      <c r="B192" s="24">
        <v>2</v>
      </c>
      <c r="C192" s="20">
        <f t="shared" si="18"/>
        <v>8136011.462963351</v>
      </c>
      <c r="D192" s="20">
        <f t="shared" si="14"/>
        <v>27037.590551906949</v>
      </c>
      <c r="E192" s="20">
        <f t="shared" si="15"/>
        <v>44070.062091051484</v>
      </c>
      <c r="F192" s="20">
        <f t="shared" si="16"/>
        <v>71107.652642958434</v>
      </c>
      <c r="G192" s="20">
        <f t="shared" si="17"/>
        <v>8108973.8724114439</v>
      </c>
      <c r="H192" s="20">
        <f t="shared" si="19"/>
        <v>3141026.1275885426</v>
      </c>
      <c r="I192" s="20">
        <f t="shared" si="20"/>
        <v>9800566.6534298938</v>
      </c>
    </row>
    <row r="193" spans="1:9" x14ac:dyDescent="0.2">
      <c r="A193" s="24">
        <v>16</v>
      </c>
      <c r="B193" s="24">
        <v>3</v>
      </c>
      <c r="C193" s="20">
        <f t="shared" si="18"/>
        <v>8108973.8724114439</v>
      </c>
      <c r="D193" s="20">
        <f t="shared" si="14"/>
        <v>27184.044167396445</v>
      </c>
      <c r="E193" s="20">
        <f t="shared" si="15"/>
        <v>43923.608475561989</v>
      </c>
      <c r="F193" s="20">
        <f t="shared" si="16"/>
        <v>71107.652642958434</v>
      </c>
      <c r="G193" s="20">
        <f t="shared" si="17"/>
        <v>8081789.8282440472</v>
      </c>
      <c r="H193" s="20">
        <f t="shared" si="19"/>
        <v>3168210.1717559393</v>
      </c>
      <c r="I193" s="20">
        <f t="shared" si="20"/>
        <v>9844490.261905456</v>
      </c>
    </row>
    <row r="194" spans="1:9" x14ac:dyDescent="0.2">
      <c r="A194" s="24">
        <v>16</v>
      </c>
      <c r="B194" s="24">
        <v>4</v>
      </c>
      <c r="C194" s="20">
        <f t="shared" si="18"/>
        <v>8081789.8282440472</v>
      </c>
      <c r="D194" s="20">
        <f t="shared" si="14"/>
        <v>27331.291073303182</v>
      </c>
      <c r="E194" s="20">
        <f t="shared" si="15"/>
        <v>43776.361569655252</v>
      </c>
      <c r="F194" s="20">
        <f t="shared" si="16"/>
        <v>71107.652642958434</v>
      </c>
      <c r="G194" s="20">
        <f t="shared" si="17"/>
        <v>8054458.5371707445</v>
      </c>
      <c r="H194" s="20">
        <f t="shared" si="19"/>
        <v>3195541.4628292425</v>
      </c>
      <c r="I194" s="20">
        <f t="shared" si="20"/>
        <v>9888266.623475112</v>
      </c>
    </row>
    <row r="195" spans="1:9" x14ac:dyDescent="0.2">
      <c r="A195" s="24">
        <v>16</v>
      </c>
      <c r="B195" s="24">
        <v>5</v>
      </c>
      <c r="C195" s="20">
        <f t="shared" si="18"/>
        <v>8054458.5371707445</v>
      </c>
      <c r="D195" s="20">
        <f t="shared" si="14"/>
        <v>27479.335566616901</v>
      </c>
      <c r="E195" s="20">
        <f t="shared" si="15"/>
        <v>43628.317076341533</v>
      </c>
      <c r="F195" s="20">
        <f t="shared" si="16"/>
        <v>71107.652642958434</v>
      </c>
      <c r="G195" s="20">
        <f t="shared" si="17"/>
        <v>8026979.2016041279</v>
      </c>
      <c r="H195" s="20">
        <f t="shared" si="19"/>
        <v>3223020.7983958595</v>
      </c>
      <c r="I195" s="20">
        <f t="shared" si="20"/>
        <v>9931894.9405514542</v>
      </c>
    </row>
    <row r="196" spans="1:9" x14ac:dyDescent="0.2">
      <c r="A196" s="24">
        <v>16</v>
      </c>
      <c r="B196" s="24">
        <v>6</v>
      </c>
      <c r="C196" s="20">
        <f t="shared" si="18"/>
        <v>8026979.2016041279</v>
      </c>
      <c r="D196" s="20">
        <f t="shared" si="14"/>
        <v>27628.181967602737</v>
      </c>
      <c r="E196" s="20">
        <f t="shared" si="15"/>
        <v>43479.470675355697</v>
      </c>
      <c r="F196" s="20">
        <f t="shared" si="16"/>
        <v>71107.652642958434</v>
      </c>
      <c r="G196" s="20">
        <f t="shared" si="17"/>
        <v>7999351.0196365248</v>
      </c>
      <c r="H196" s="20">
        <f t="shared" si="19"/>
        <v>3250648.9803634621</v>
      </c>
      <c r="I196" s="20">
        <f t="shared" si="20"/>
        <v>9975374.411226809</v>
      </c>
    </row>
    <row r="197" spans="1:9" x14ac:dyDescent="0.2">
      <c r="A197" s="24">
        <v>16</v>
      </c>
      <c r="B197" s="24">
        <v>7</v>
      </c>
      <c r="C197" s="20">
        <f t="shared" si="18"/>
        <v>7999351.0196365248</v>
      </c>
      <c r="D197" s="20">
        <f t="shared" si="14"/>
        <v>27777.834619927256</v>
      </c>
      <c r="E197" s="20">
        <f t="shared" si="15"/>
        <v>43329.818023031177</v>
      </c>
      <c r="F197" s="20">
        <f t="shared" si="16"/>
        <v>71107.652642958434</v>
      </c>
      <c r="G197" s="20">
        <f t="shared" si="17"/>
        <v>7971573.1850165976</v>
      </c>
      <c r="H197" s="20">
        <f t="shared" si="19"/>
        <v>3278426.8149833893</v>
      </c>
      <c r="I197" s="20">
        <f t="shared" si="20"/>
        <v>10018704.229249841</v>
      </c>
    </row>
    <row r="198" spans="1:9" x14ac:dyDescent="0.2">
      <c r="A198" s="24">
        <v>16</v>
      </c>
      <c r="B198" s="24">
        <v>8</v>
      </c>
      <c r="C198" s="20">
        <f t="shared" si="18"/>
        <v>7971573.1850165976</v>
      </c>
      <c r="D198" s="20">
        <f t="shared" si="14"/>
        <v>27928.297890785194</v>
      </c>
      <c r="E198" s="20">
        <f t="shared" si="15"/>
        <v>43179.35475217324</v>
      </c>
      <c r="F198" s="20">
        <f t="shared" si="16"/>
        <v>71107.652642958434</v>
      </c>
      <c r="G198" s="20">
        <f t="shared" si="17"/>
        <v>7943644.8871258125</v>
      </c>
      <c r="H198" s="20">
        <f t="shared" si="19"/>
        <v>3306355.1128741745</v>
      </c>
      <c r="I198" s="20">
        <f t="shared" si="20"/>
        <v>10061883.584002014</v>
      </c>
    </row>
    <row r="199" spans="1:9" x14ac:dyDescent="0.2">
      <c r="A199" s="24">
        <v>16</v>
      </c>
      <c r="B199" s="24">
        <v>9</v>
      </c>
      <c r="C199" s="20">
        <f t="shared" si="18"/>
        <v>7943644.8871258125</v>
      </c>
      <c r="D199" s="20">
        <f t="shared" si="14"/>
        <v>28079.576171026951</v>
      </c>
      <c r="E199" s="20">
        <f t="shared" si="15"/>
        <v>43028.076471931483</v>
      </c>
      <c r="F199" s="20">
        <f t="shared" si="16"/>
        <v>71107.652642958434</v>
      </c>
      <c r="G199" s="20">
        <f t="shared" si="17"/>
        <v>7915565.3109547859</v>
      </c>
      <c r="H199" s="20">
        <f t="shared" si="19"/>
        <v>3334434.6890452015</v>
      </c>
      <c r="I199" s="20">
        <f t="shared" si="20"/>
        <v>10104911.660473946</v>
      </c>
    </row>
    <row r="200" spans="1:9" x14ac:dyDescent="0.2">
      <c r="A200" s="24">
        <v>16</v>
      </c>
      <c r="B200" s="24">
        <v>10</v>
      </c>
      <c r="C200" s="20">
        <f t="shared" si="18"/>
        <v>7915565.3109547859</v>
      </c>
      <c r="D200" s="20">
        <f t="shared" si="14"/>
        <v>28231.673875286673</v>
      </c>
      <c r="E200" s="20">
        <f t="shared" si="15"/>
        <v>42875.978767671761</v>
      </c>
      <c r="F200" s="20">
        <f t="shared" si="16"/>
        <v>71107.652642958434</v>
      </c>
      <c r="G200" s="20">
        <f t="shared" si="17"/>
        <v>7887333.6370794997</v>
      </c>
      <c r="H200" s="20">
        <f t="shared" si="19"/>
        <v>3362666.3629204882</v>
      </c>
      <c r="I200" s="20">
        <f t="shared" si="20"/>
        <v>10147787.639241619</v>
      </c>
    </row>
    <row r="201" spans="1:9" x14ac:dyDescent="0.2">
      <c r="A201" s="24">
        <v>16</v>
      </c>
      <c r="B201" s="24">
        <v>11</v>
      </c>
      <c r="C201" s="20">
        <f t="shared" si="18"/>
        <v>7887333.6370794997</v>
      </c>
      <c r="D201" s="20">
        <f t="shared" si="14"/>
        <v>28384.595442111146</v>
      </c>
      <c r="E201" s="20">
        <f t="shared" si="15"/>
        <v>42723.057200847288</v>
      </c>
      <c r="F201" s="20">
        <f t="shared" si="16"/>
        <v>71107.652642958434</v>
      </c>
      <c r="G201" s="20">
        <f t="shared" si="17"/>
        <v>7858949.0416373881</v>
      </c>
      <c r="H201" s="20">
        <f t="shared" si="19"/>
        <v>3391050.9583625994</v>
      </c>
      <c r="I201" s="20">
        <f t="shared" si="20"/>
        <v>10190510.696442466</v>
      </c>
    </row>
    <row r="202" spans="1:9" x14ac:dyDescent="0.2">
      <c r="A202" s="24">
        <v>16</v>
      </c>
      <c r="B202" s="24">
        <v>12</v>
      </c>
      <c r="C202" s="20">
        <f t="shared" si="18"/>
        <v>7858949.0416373881</v>
      </c>
      <c r="D202" s="20">
        <f t="shared" si="14"/>
        <v>28538.345334089245</v>
      </c>
      <c r="E202" s="20">
        <f t="shared" si="15"/>
        <v>42569.307308869189</v>
      </c>
      <c r="F202" s="20">
        <f t="shared" si="16"/>
        <v>71107.652642958434</v>
      </c>
      <c r="G202" s="20">
        <f t="shared" si="17"/>
        <v>7830410.6963032987</v>
      </c>
      <c r="H202" s="20">
        <f t="shared" si="19"/>
        <v>3419589.3036966887</v>
      </c>
      <c r="I202" s="20">
        <f t="shared" si="20"/>
        <v>10233080.003751336</v>
      </c>
    </row>
    <row r="203" spans="1:9" x14ac:dyDescent="0.2">
      <c r="A203" s="24">
        <v>17</v>
      </c>
      <c r="B203" s="24">
        <v>1</v>
      </c>
      <c r="C203" s="20">
        <f t="shared" si="18"/>
        <v>7830410.6963032987</v>
      </c>
      <c r="D203" s="20">
        <f t="shared" ref="D203:D266" si="21">Monthly_Payment-E203</f>
        <v>28692.92803798223</v>
      </c>
      <c r="E203" s="20">
        <f t="shared" ref="E203:E266" si="22">C203*Interest_Rate/12</f>
        <v>42414.724604976203</v>
      </c>
      <c r="F203" s="20">
        <f t="shared" ref="F203:F266" si="23">Monthly_Payment</f>
        <v>71107.652642958434</v>
      </c>
      <c r="G203" s="20">
        <f t="shared" ref="G203:G266" si="24">C203-D203</f>
        <v>7801717.7682653163</v>
      </c>
      <c r="H203" s="20">
        <f t="shared" si="19"/>
        <v>3448282.2317346712</v>
      </c>
      <c r="I203" s="20">
        <f t="shared" si="20"/>
        <v>10275494.728356311</v>
      </c>
    </row>
    <row r="204" spans="1:9" x14ac:dyDescent="0.2">
      <c r="A204" s="24">
        <v>17</v>
      </c>
      <c r="B204" s="24">
        <v>2</v>
      </c>
      <c r="C204" s="20">
        <f t="shared" ref="C204:C267" si="25">G203</f>
        <v>7801717.7682653163</v>
      </c>
      <c r="D204" s="20">
        <f t="shared" si="21"/>
        <v>28848.348064854632</v>
      </c>
      <c r="E204" s="20">
        <f t="shared" si="22"/>
        <v>42259.304578103802</v>
      </c>
      <c r="F204" s="20">
        <f t="shared" si="23"/>
        <v>71107.652642958434</v>
      </c>
      <c r="G204" s="20">
        <f t="shared" si="24"/>
        <v>7772869.4202004615</v>
      </c>
      <c r="H204" s="20">
        <f t="shared" ref="H204:H267" si="26">H203+D204</f>
        <v>3477130.5797995259</v>
      </c>
      <c r="I204" s="20">
        <f t="shared" ref="I204:I267" si="27">I203+E204</f>
        <v>10317754.032934414</v>
      </c>
    </row>
    <row r="205" spans="1:9" x14ac:dyDescent="0.2">
      <c r="A205" s="24">
        <v>17</v>
      </c>
      <c r="B205" s="24">
        <v>3</v>
      </c>
      <c r="C205" s="20">
        <f t="shared" si="25"/>
        <v>7772869.4202004615</v>
      </c>
      <c r="D205" s="20">
        <f t="shared" si="21"/>
        <v>29004.60995020593</v>
      </c>
      <c r="E205" s="20">
        <f t="shared" si="22"/>
        <v>42103.042692752504</v>
      </c>
      <c r="F205" s="20">
        <f t="shared" si="23"/>
        <v>71107.652642958434</v>
      </c>
      <c r="G205" s="20">
        <f t="shared" si="24"/>
        <v>7743864.8102502553</v>
      </c>
      <c r="H205" s="20">
        <f t="shared" si="26"/>
        <v>3506135.1897497317</v>
      </c>
      <c r="I205" s="20">
        <f t="shared" si="27"/>
        <v>10359857.075627167</v>
      </c>
    </row>
    <row r="206" spans="1:9" x14ac:dyDescent="0.2">
      <c r="A206" s="24">
        <v>17</v>
      </c>
      <c r="B206" s="24">
        <v>4</v>
      </c>
      <c r="C206" s="20">
        <f t="shared" si="25"/>
        <v>7743864.8102502553</v>
      </c>
      <c r="D206" s="20">
        <f t="shared" si="21"/>
        <v>29161.718254102881</v>
      </c>
      <c r="E206" s="20">
        <f t="shared" si="22"/>
        <v>41945.934388855552</v>
      </c>
      <c r="F206" s="20">
        <f t="shared" si="23"/>
        <v>71107.652642958434</v>
      </c>
      <c r="G206" s="20">
        <f t="shared" si="24"/>
        <v>7714703.091996152</v>
      </c>
      <c r="H206" s="20">
        <f t="shared" si="26"/>
        <v>3535296.9080038345</v>
      </c>
      <c r="I206" s="20">
        <f t="shared" si="27"/>
        <v>10401803.010016022</v>
      </c>
    </row>
    <row r="207" spans="1:9" x14ac:dyDescent="0.2">
      <c r="A207" s="24">
        <v>17</v>
      </c>
      <c r="B207" s="24">
        <v>5</v>
      </c>
      <c r="C207" s="20">
        <f t="shared" si="25"/>
        <v>7714703.091996152</v>
      </c>
      <c r="D207" s="20">
        <f t="shared" si="21"/>
        <v>29319.677561312608</v>
      </c>
      <c r="E207" s="20">
        <f t="shared" si="22"/>
        <v>41787.975081645825</v>
      </c>
      <c r="F207" s="20">
        <f t="shared" si="23"/>
        <v>71107.652642958434</v>
      </c>
      <c r="G207" s="20">
        <f t="shared" si="24"/>
        <v>7685383.414434839</v>
      </c>
      <c r="H207" s="20">
        <f t="shared" si="26"/>
        <v>3564616.585565147</v>
      </c>
      <c r="I207" s="20">
        <f t="shared" si="27"/>
        <v>10443590.985097667</v>
      </c>
    </row>
    <row r="208" spans="1:9" x14ac:dyDescent="0.2">
      <c r="A208" s="24">
        <v>17</v>
      </c>
      <c r="B208" s="24">
        <v>6</v>
      </c>
      <c r="C208" s="20">
        <f t="shared" si="25"/>
        <v>7685383.414434839</v>
      </c>
      <c r="D208" s="20">
        <f t="shared" si="21"/>
        <v>29478.492481436384</v>
      </c>
      <c r="E208" s="20">
        <f t="shared" si="22"/>
        <v>41629.16016152205</v>
      </c>
      <c r="F208" s="20">
        <f t="shared" si="23"/>
        <v>71107.652642958434</v>
      </c>
      <c r="G208" s="20">
        <f t="shared" si="24"/>
        <v>7655904.9219534025</v>
      </c>
      <c r="H208" s="20">
        <f t="shared" si="26"/>
        <v>3594095.0780465836</v>
      </c>
      <c r="I208" s="20">
        <f t="shared" si="27"/>
        <v>10485220.145259188</v>
      </c>
    </row>
    <row r="209" spans="1:9" x14ac:dyDescent="0.2">
      <c r="A209" s="24">
        <v>17</v>
      </c>
      <c r="B209" s="24">
        <v>7</v>
      </c>
      <c r="C209" s="20">
        <f t="shared" si="25"/>
        <v>7655904.9219534025</v>
      </c>
      <c r="D209" s="20">
        <f t="shared" si="21"/>
        <v>29638.167649044168</v>
      </c>
      <c r="E209" s="20">
        <f t="shared" si="22"/>
        <v>41469.484993914266</v>
      </c>
      <c r="F209" s="20">
        <f t="shared" si="23"/>
        <v>71107.652642958434</v>
      </c>
      <c r="G209" s="20">
        <f t="shared" si="24"/>
        <v>7626266.7543043587</v>
      </c>
      <c r="H209" s="20">
        <f t="shared" si="26"/>
        <v>3623733.2456956278</v>
      </c>
      <c r="I209" s="20">
        <f t="shared" si="27"/>
        <v>10526689.630253103</v>
      </c>
    </row>
    <row r="210" spans="1:9" x14ac:dyDescent="0.2">
      <c r="A210" s="24">
        <v>17</v>
      </c>
      <c r="B210" s="24">
        <v>8</v>
      </c>
      <c r="C210" s="20">
        <f t="shared" si="25"/>
        <v>7626266.7543043587</v>
      </c>
      <c r="D210" s="20">
        <f t="shared" si="21"/>
        <v>29798.707723809821</v>
      </c>
      <c r="E210" s="20">
        <f t="shared" si="22"/>
        <v>41308.944919148613</v>
      </c>
      <c r="F210" s="20">
        <f t="shared" si="23"/>
        <v>71107.652642958434</v>
      </c>
      <c r="G210" s="20">
        <f t="shared" si="24"/>
        <v>7596468.0465805493</v>
      </c>
      <c r="H210" s="20">
        <f t="shared" si="26"/>
        <v>3653531.9534194376</v>
      </c>
      <c r="I210" s="20">
        <f t="shared" si="27"/>
        <v>10567998.575172251</v>
      </c>
    </row>
    <row r="211" spans="1:9" x14ac:dyDescent="0.2">
      <c r="A211" s="24">
        <v>17</v>
      </c>
      <c r="B211" s="24">
        <v>9</v>
      </c>
      <c r="C211" s="20">
        <f t="shared" si="25"/>
        <v>7596468.0465805493</v>
      </c>
      <c r="D211" s="20">
        <f t="shared" si="21"/>
        <v>29960.117390647123</v>
      </c>
      <c r="E211" s="20">
        <f t="shared" si="22"/>
        <v>41147.535252311311</v>
      </c>
      <c r="F211" s="20">
        <f t="shared" si="23"/>
        <v>71107.652642958434</v>
      </c>
      <c r="G211" s="20">
        <f t="shared" si="24"/>
        <v>7566507.9291899018</v>
      </c>
      <c r="H211" s="20">
        <f t="shared" si="26"/>
        <v>3683492.0708100847</v>
      </c>
      <c r="I211" s="20">
        <f t="shared" si="27"/>
        <v>10609146.110424563</v>
      </c>
    </row>
    <row r="212" spans="1:9" x14ac:dyDescent="0.2">
      <c r="A212" s="24">
        <v>17</v>
      </c>
      <c r="B212" s="24">
        <v>10</v>
      </c>
      <c r="C212" s="20">
        <f t="shared" si="25"/>
        <v>7566507.9291899018</v>
      </c>
      <c r="D212" s="20">
        <f t="shared" si="21"/>
        <v>30122.401359846466</v>
      </c>
      <c r="E212" s="20">
        <f t="shared" si="22"/>
        <v>40985.251283111967</v>
      </c>
      <c r="F212" s="20">
        <f t="shared" si="23"/>
        <v>71107.652642958434</v>
      </c>
      <c r="G212" s="20">
        <f t="shared" si="24"/>
        <v>7536385.527830055</v>
      </c>
      <c r="H212" s="20">
        <f t="shared" si="26"/>
        <v>3713614.472169931</v>
      </c>
      <c r="I212" s="20">
        <f t="shared" si="27"/>
        <v>10650131.361707674</v>
      </c>
    </row>
    <row r="213" spans="1:9" x14ac:dyDescent="0.2">
      <c r="A213" s="24">
        <v>17</v>
      </c>
      <c r="B213" s="24">
        <v>11</v>
      </c>
      <c r="C213" s="20">
        <f t="shared" si="25"/>
        <v>7536385.527830055</v>
      </c>
      <c r="D213" s="20">
        <f t="shared" si="21"/>
        <v>30285.564367212304</v>
      </c>
      <c r="E213" s="20">
        <f t="shared" si="22"/>
        <v>40822.08827574613</v>
      </c>
      <c r="F213" s="20">
        <f t="shared" si="23"/>
        <v>71107.652642958434</v>
      </c>
      <c r="G213" s="20">
        <f t="shared" si="24"/>
        <v>7506099.9634628426</v>
      </c>
      <c r="H213" s="20">
        <f t="shared" si="26"/>
        <v>3743900.0365371434</v>
      </c>
      <c r="I213" s="20">
        <f t="shared" si="27"/>
        <v>10690953.44998342</v>
      </c>
    </row>
    <row r="214" spans="1:9" x14ac:dyDescent="0.2">
      <c r="A214" s="24">
        <v>17</v>
      </c>
      <c r="B214" s="24">
        <v>12</v>
      </c>
      <c r="C214" s="20">
        <f t="shared" si="25"/>
        <v>7506099.9634628426</v>
      </c>
      <c r="D214" s="20">
        <f t="shared" si="21"/>
        <v>30449.611174201367</v>
      </c>
      <c r="E214" s="20">
        <f t="shared" si="22"/>
        <v>40658.041468757066</v>
      </c>
      <c r="F214" s="20">
        <f t="shared" si="23"/>
        <v>71107.652642958434</v>
      </c>
      <c r="G214" s="20">
        <f t="shared" si="24"/>
        <v>7475650.352288641</v>
      </c>
      <c r="H214" s="20">
        <f t="shared" si="26"/>
        <v>3774349.647711345</v>
      </c>
      <c r="I214" s="20">
        <f t="shared" si="27"/>
        <v>10731611.491452176</v>
      </c>
    </row>
    <row r="215" spans="1:9" x14ac:dyDescent="0.2">
      <c r="A215" s="24">
        <v>18</v>
      </c>
      <c r="B215" s="24">
        <v>1</v>
      </c>
      <c r="C215" s="20">
        <f t="shared" si="25"/>
        <v>7475650.352288641</v>
      </c>
      <c r="D215" s="20">
        <f t="shared" si="21"/>
        <v>30614.546568061625</v>
      </c>
      <c r="E215" s="20">
        <f t="shared" si="22"/>
        <v>40493.106074896808</v>
      </c>
      <c r="F215" s="20">
        <f t="shared" si="23"/>
        <v>71107.652642958434</v>
      </c>
      <c r="G215" s="20">
        <f t="shared" si="24"/>
        <v>7445035.8057205798</v>
      </c>
      <c r="H215" s="20">
        <f t="shared" si="26"/>
        <v>3804964.1942794067</v>
      </c>
      <c r="I215" s="20">
        <f t="shared" si="27"/>
        <v>10772104.597527074</v>
      </c>
    </row>
    <row r="216" spans="1:9" x14ac:dyDescent="0.2">
      <c r="A216" s="24">
        <v>18</v>
      </c>
      <c r="B216" s="24">
        <v>2</v>
      </c>
      <c r="C216" s="20">
        <f t="shared" si="25"/>
        <v>7445035.8057205798</v>
      </c>
      <c r="D216" s="20">
        <f t="shared" si="21"/>
        <v>30780.375361971957</v>
      </c>
      <c r="E216" s="20">
        <f t="shared" si="22"/>
        <v>40327.277280986476</v>
      </c>
      <c r="F216" s="20">
        <f t="shared" si="23"/>
        <v>71107.652642958434</v>
      </c>
      <c r="G216" s="20">
        <f t="shared" si="24"/>
        <v>7414255.4303586083</v>
      </c>
      <c r="H216" s="20">
        <f t="shared" si="26"/>
        <v>3835744.5696413787</v>
      </c>
      <c r="I216" s="20">
        <f t="shared" si="27"/>
        <v>10812431.87480806</v>
      </c>
    </row>
    <row r="217" spans="1:9" x14ac:dyDescent="0.2">
      <c r="A217" s="24">
        <v>18</v>
      </c>
      <c r="B217" s="24">
        <v>3</v>
      </c>
      <c r="C217" s="20">
        <f t="shared" si="25"/>
        <v>7414255.4303586083</v>
      </c>
      <c r="D217" s="20">
        <f t="shared" si="21"/>
        <v>30947.102395182636</v>
      </c>
      <c r="E217" s="20">
        <f t="shared" si="22"/>
        <v>40160.550247775798</v>
      </c>
      <c r="F217" s="20">
        <f t="shared" si="23"/>
        <v>71107.652642958434</v>
      </c>
      <c r="G217" s="20">
        <f t="shared" si="24"/>
        <v>7383308.3279634258</v>
      </c>
      <c r="H217" s="20">
        <f t="shared" si="26"/>
        <v>3866691.6720365612</v>
      </c>
      <c r="I217" s="20">
        <f t="shared" si="27"/>
        <v>10852592.425055835</v>
      </c>
    </row>
    <row r="218" spans="1:9" x14ac:dyDescent="0.2">
      <c r="A218" s="24">
        <v>18</v>
      </c>
      <c r="B218" s="24">
        <v>4</v>
      </c>
      <c r="C218" s="20">
        <f t="shared" si="25"/>
        <v>7383308.3279634258</v>
      </c>
      <c r="D218" s="20">
        <f t="shared" si="21"/>
        <v>31114.732533156544</v>
      </c>
      <c r="E218" s="20">
        <f t="shared" si="22"/>
        <v>39992.920109801889</v>
      </c>
      <c r="F218" s="20">
        <f t="shared" si="23"/>
        <v>71107.652642958434</v>
      </c>
      <c r="G218" s="20">
        <f t="shared" si="24"/>
        <v>7352193.5954302689</v>
      </c>
      <c r="H218" s="20">
        <f t="shared" si="26"/>
        <v>3897806.4045697176</v>
      </c>
      <c r="I218" s="20">
        <f t="shared" si="27"/>
        <v>10892585.345165636</v>
      </c>
    </row>
    <row r="219" spans="1:9" x14ac:dyDescent="0.2">
      <c r="A219" s="24">
        <v>18</v>
      </c>
      <c r="B219" s="24">
        <v>5</v>
      </c>
      <c r="C219" s="20">
        <f t="shared" si="25"/>
        <v>7352193.5954302689</v>
      </c>
      <c r="D219" s="20">
        <f t="shared" si="21"/>
        <v>31283.270667711142</v>
      </c>
      <c r="E219" s="20">
        <f t="shared" si="22"/>
        <v>39824.381975247292</v>
      </c>
      <c r="F219" s="20">
        <f t="shared" si="23"/>
        <v>71107.652642958434</v>
      </c>
      <c r="G219" s="20">
        <f t="shared" si="24"/>
        <v>7320910.3247625576</v>
      </c>
      <c r="H219" s="20">
        <f t="shared" si="26"/>
        <v>3929089.6752374289</v>
      </c>
      <c r="I219" s="20">
        <f t="shared" si="27"/>
        <v>10932409.727140883</v>
      </c>
    </row>
    <row r="220" spans="1:9" x14ac:dyDescent="0.2">
      <c r="A220" s="24">
        <v>18</v>
      </c>
      <c r="B220" s="24">
        <v>6</v>
      </c>
      <c r="C220" s="20">
        <f t="shared" si="25"/>
        <v>7320910.3247625576</v>
      </c>
      <c r="D220" s="20">
        <f t="shared" si="21"/>
        <v>31452.721717161243</v>
      </c>
      <c r="E220" s="20">
        <f t="shared" si="22"/>
        <v>39654.930925797191</v>
      </c>
      <c r="F220" s="20">
        <f t="shared" si="23"/>
        <v>71107.652642958434</v>
      </c>
      <c r="G220" s="20">
        <f t="shared" si="24"/>
        <v>7289457.6030453965</v>
      </c>
      <c r="H220" s="20">
        <f t="shared" si="26"/>
        <v>3960542.39695459</v>
      </c>
      <c r="I220" s="20">
        <f t="shared" si="27"/>
        <v>10972064.658066681</v>
      </c>
    </row>
    <row r="221" spans="1:9" x14ac:dyDescent="0.2">
      <c r="A221" s="24">
        <v>18</v>
      </c>
      <c r="B221" s="24">
        <v>7</v>
      </c>
      <c r="C221" s="20">
        <f t="shared" si="25"/>
        <v>7289457.6030453965</v>
      </c>
      <c r="D221" s="20">
        <f t="shared" si="21"/>
        <v>31623.09062646253</v>
      </c>
      <c r="E221" s="20">
        <f t="shared" si="22"/>
        <v>39484.562016495904</v>
      </c>
      <c r="F221" s="20">
        <f t="shared" si="23"/>
        <v>71107.652642958434</v>
      </c>
      <c r="G221" s="20">
        <f t="shared" si="24"/>
        <v>7257834.5124189341</v>
      </c>
      <c r="H221" s="20">
        <f t="shared" si="26"/>
        <v>3992165.4875810524</v>
      </c>
      <c r="I221" s="20">
        <f t="shared" si="27"/>
        <v>11011549.220083177</v>
      </c>
    </row>
    <row r="222" spans="1:9" x14ac:dyDescent="0.2">
      <c r="A222" s="24">
        <v>18</v>
      </c>
      <c r="B222" s="24">
        <v>8</v>
      </c>
      <c r="C222" s="20">
        <f t="shared" si="25"/>
        <v>7257834.5124189341</v>
      </c>
      <c r="D222" s="20">
        <f t="shared" si="21"/>
        <v>31794.382367355873</v>
      </c>
      <c r="E222" s="20">
        <f t="shared" si="22"/>
        <v>39313.270275602561</v>
      </c>
      <c r="F222" s="20">
        <f t="shared" si="23"/>
        <v>71107.652642958434</v>
      </c>
      <c r="G222" s="20">
        <f t="shared" si="24"/>
        <v>7226040.1300515784</v>
      </c>
      <c r="H222" s="20">
        <f t="shared" si="26"/>
        <v>4023959.8699484081</v>
      </c>
      <c r="I222" s="20">
        <f t="shared" si="27"/>
        <v>11050862.490358779</v>
      </c>
    </row>
    <row r="223" spans="1:9" x14ac:dyDescent="0.2">
      <c r="A223" s="24">
        <v>18</v>
      </c>
      <c r="B223" s="24">
        <v>9</v>
      </c>
      <c r="C223" s="20">
        <f t="shared" si="25"/>
        <v>7226040.1300515784</v>
      </c>
      <c r="D223" s="20">
        <f t="shared" si="21"/>
        <v>31966.601938512387</v>
      </c>
      <c r="E223" s="20">
        <f t="shared" si="22"/>
        <v>39141.050704446046</v>
      </c>
      <c r="F223" s="20">
        <f t="shared" si="23"/>
        <v>71107.652642958434</v>
      </c>
      <c r="G223" s="20">
        <f t="shared" si="24"/>
        <v>7194073.5281130662</v>
      </c>
      <c r="H223" s="20">
        <f t="shared" si="26"/>
        <v>4055926.4718869203</v>
      </c>
      <c r="I223" s="20">
        <f t="shared" si="27"/>
        <v>11090003.541063225</v>
      </c>
    </row>
    <row r="224" spans="1:9" x14ac:dyDescent="0.2">
      <c r="A224" s="24">
        <v>18</v>
      </c>
      <c r="B224" s="24">
        <v>10</v>
      </c>
      <c r="C224" s="20">
        <f t="shared" si="25"/>
        <v>7194073.5281130662</v>
      </c>
      <c r="D224" s="20">
        <f t="shared" si="21"/>
        <v>32139.75436567932</v>
      </c>
      <c r="E224" s="20">
        <f t="shared" si="22"/>
        <v>38967.898277279113</v>
      </c>
      <c r="F224" s="20">
        <f t="shared" si="23"/>
        <v>71107.652642958434</v>
      </c>
      <c r="G224" s="20">
        <f t="shared" si="24"/>
        <v>7161933.7737473873</v>
      </c>
      <c r="H224" s="20">
        <f t="shared" si="26"/>
        <v>4088066.2262525996</v>
      </c>
      <c r="I224" s="20">
        <f t="shared" si="27"/>
        <v>11128971.439340504</v>
      </c>
    </row>
    <row r="225" spans="1:9" x14ac:dyDescent="0.2">
      <c r="A225" s="24">
        <v>18</v>
      </c>
      <c r="B225" s="24">
        <v>11</v>
      </c>
      <c r="C225" s="20">
        <f t="shared" si="25"/>
        <v>7161933.7737473873</v>
      </c>
      <c r="D225" s="20">
        <f t="shared" si="21"/>
        <v>32313.844701826754</v>
      </c>
      <c r="E225" s="20">
        <f t="shared" si="22"/>
        <v>38793.807941131679</v>
      </c>
      <c r="F225" s="20">
        <f t="shared" si="23"/>
        <v>71107.652642958434</v>
      </c>
      <c r="G225" s="20">
        <f t="shared" si="24"/>
        <v>7129619.9290455608</v>
      </c>
      <c r="H225" s="20">
        <f t="shared" si="26"/>
        <v>4120380.0709544262</v>
      </c>
      <c r="I225" s="20">
        <f t="shared" si="27"/>
        <v>11167765.247281635</v>
      </c>
    </row>
    <row r="226" spans="1:9" x14ac:dyDescent="0.2">
      <c r="A226" s="24">
        <v>18</v>
      </c>
      <c r="B226" s="24">
        <v>12</v>
      </c>
      <c r="C226" s="20">
        <f t="shared" si="25"/>
        <v>7129619.9290455608</v>
      </c>
      <c r="D226" s="20">
        <f t="shared" si="21"/>
        <v>32488.878027294973</v>
      </c>
      <c r="E226" s="20">
        <f t="shared" si="22"/>
        <v>38618.77461566346</v>
      </c>
      <c r="F226" s="20">
        <f t="shared" si="23"/>
        <v>71107.652642958434</v>
      </c>
      <c r="G226" s="20">
        <f t="shared" si="24"/>
        <v>7097131.051018266</v>
      </c>
      <c r="H226" s="20">
        <f t="shared" si="26"/>
        <v>4152868.948981721</v>
      </c>
      <c r="I226" s="20">
        <f t="shared" si="27"/>
        <v>11206384.021897299</v>
      </c>
    </row>
    <row r="227" spans="1:9" x14ac:dyDescent="0.2">
      <c r="A227" s="24">
        <v>19</v>
      </c>
      <c r="B227" s="24">
        <v>1</v>
      </c>
      <c r="C227" s="20">
        <f t="shared" si="25"/>
        <v>7097131.051018266</v>
      </c>
      <c r="D227" s="20">
        <f t="shared" si="21"/>
        <v>32664.859449942822</v>
      </c>
      <c r="E227" s="20">
        <f t="shared" si="22"/>
        <v>38442.793193015612</v>
      </c>
      <c r="F227" s="20">
        <f t="shared" si="23"/>
        <v>71107.652642958434</v>
      </c>
      <c r="G227" s="20">
        <f t="shared" si="24"/>
        <v>7064466.1915683234</v>
      </c>
      <c r="H227" s="20">
        <f t="shared" si="26"/>
        <v>4185533.8084316636</v>
      </c>
      <c r="I227" s="20">
        <f t="shared" si="27"/>
        <v>11244826.815090315</v>
      </c>
    </row>
    <row r="228" spans="1:9" x14ac:dyDescent="0.2">
      <c r="A228" s="24">
        <v>19</v>
      </c>
      <c r="B228" s="24">
        <v>2</v>
      </c>
      <c r="C228" s="20">
        <f t="shared" si="25"/>
        <v>7064466.1915683234</v>
      </c>
      <c r="D228" s="20">
        <f t="shared" si="21"/>
        <v>32841.794105296685</v>
      </c>
      <c r="E228" s="20">
        <f t="shared" si="22"/>
        <v>38265.858537661748</v>
      </c>
      <c r="F228" s="20">
        <f t="shared" si="23"/>
        <v>71107.652642958434</v>
      </c>
      <c r="G228" s="20">
        <f t="shared" si="24"/>
        <v>7031624.3974630265</v>
      </c>
      <c r="H228" s="20">
        <f t="shared" si="26"/>
        <v>4218375.6025369605</v>
      </c>
      <c r="I228" s="20">
        <f t="shared" si="27"/>
        <v>11283092.673627976</v>
      </c>
    </row>
    <row r="229" spans="1:9" x14ac:dyDescent="0.2">
      <c r="A229" s="24">
        <v>19</v>
      </c>
      <c r="B229" s="24">
        <v>3</v>
      </c>
      <c r="C229" s="20">
        <f t="shared" si="25"/>
        <v>7031624.3974630265</v>
      </c>
      <c r="D229" s="20">
        <f t="shared" si="21"/>
        <v>33019.687156700376</v>
      </c>
      <c r="E229" s="20">
        <f t="shared" si="22"/>
        <v>38087.965486258057</v>
      </c>
      <c r="F229" s="20">
        <f t="shared" si="23"/>
        <v>71107.652642958434</v>
      </c>
      <c r="G229" s="20">
        <f t="shared" si="24"/>
        <v>6998604.7103063259</v>
      </c>
      <c r="H229" s="20">
        <f t="shared" si="26"/>
        <v>4251395.289693661</v>
      </c>
      <c r="I229" s="20">
        <f t="shared" si="27"/>
        <v>11321180.639114235</v>
      </c>
    </row>
    <row r="230" spans="1:9" x14ac:dyDescent="0.2">
      <c r="A230" s="24">
        <v>19</v>
      </c>
      <c r="B230" s="24">
        <v>4</v>
      </c>
      <c r="C230" s="20">
        <f t="shared" si="25"/>
        <v>6998604.7103063259</v>
      </c>
      <c r="D230" s="20">
        <f t="shared" si="21"/>
        <v>33198.543795465834</v>
      </c>
      <c r="E230" s="20">
        <f t="shared" si="22"/>
        <v>37909.1088474926</v>
      </c>
      <c r="F230" s="20">
        <f t="shared" si="23"/>
        <v>71107.652642958434</v>
      </c>
      <c r="G230" s="20">
        <f t="shared" si="24"/>
        <v>6965406.1665108604</v>
      </c>
      <c r="H230" s="20">
        <f t="shared" si="26"/>
        <v>4284593.8334891265</v>
      </c>
      <c r="I230" s="20">
        <f t="shared" si="27"/>
        <v>11359089.747961728</v>
      </c>
    </row>
    <row r="231" spans="1:9" x14ac:dyDescent="0.2">
      <c r="A231" s="24">
        <v>19</v>
      </c>
      <c r="B231" s="24">
        <v>5</v>
      </c>
      <c r="C231" s="20">
        <f t="shared" si="25"/>
        <v>6965406.1665108604</v>
      </c>
      <c r="D231" s="20">
        <f t="shared" si="21"/>
        <v>33378.369241024608</v>
      </c>
      <c r="E231" s="20">
        <f t="shared" si="22"/>
        <v>37729.283401933826</v>
      </c>
      <c r="F231" s="20">
        <f t="shared" si="23"/>
        <v>71107.652642958434</v>
      </c>
      <c r="G231" s="20">
        <f t="shared" si="24"/>
        <v>6932027.7972698361</v>
      </c>
      <c r="H231" s="20">
        <f t="shared" si="26"/>
        <v>4317972.2027301509</v>
      </c>
      <c r="I231" s="20">
        <f t="shared" si="27"/>
        <v>11396819.031363662</v>
      </c>
    </row>
    <row r="232" spans="1:9" x14ac:dyDescent="0.2">
      <c r="A232" s="24">
        <v>19</v>
      </c>
      <c r="B232" s="24">
        <v>6</v>
      </c>
      <c r="C232" s="20">
        <f t="shared" si="25"/>
        <v>6932027.7972698361</v>
      </c>
      <c r="D232" s="20">
        <f t="shared" si="21"/>
        <v>33559.168741080153</v>
      </c>
      <c r="E232" s="20">
        <f t="shared" si="22"/>
        <v>37548.48390187828</v>
      </c>
      <c r="F232" s="20">
        <f t="shared" si="23"/>
        <v>71107.652642958434</v>
      </c>
      <c r="G232" s="20">
        <f t="shared" si="24"/>
        <v>6898468.6285287561</v>
      </c>
      <c r="H232" s="20">
        <f t="shared" si="26"/>
        <v>4351531.3714712309</v>
      </c>
      <c r="I232" s="20">
        <f t="shared" si="27"/>
        <v>11434367.515265541</v>
      </c>
    </row>
    <row r="233" spans="1:9" x14ac:dyDescent="0.2">
      <c r="A233" s="24">
        <v>19</v>
      </c>
      <c r="B233" s="24">
        <v>7</v>
      </c>
      <c r="C233" s="20">
        <f t="shared" si="25"/>
        <v>6898468.6285287561</v>
      </c>
      <c r="D233" s="20">
        <f t="shared" si="21"/>
        <v>33740.947571761004</v>
      </c>
      <c r="E233" s="20">
        <f t="shared" si="22"/>
        <v>37366.70507119743</v>
      </c>
      <c r="F233" s="20">
        <f t="shared" si="23"/>
        <v>71107.652642958434</v>
      </c>
      <c r="G233" s="20">
        <f t="shared" si="24"/>
        <v>6864727.6809569951</v>
      </c>
      <c r="H233" s="20">
        <f t="shared" si="26"/>
        <v>4385272.3190429918</v>
      </c>
      <c r="I233" s="20">
        <f t="shared" si="27"/>
        <v>11471734.220336739</v>
      </c>
    </row>
    <row r="234" spans="1:9" x14ac:dyDescent="0.2">
      <c r="A234" s="24">
        <v>19</v>
      </c>
      <c r="B234" s="24">
        <v>8</v>
      </c>
      <c r="C234" s="20">
        <f t="shared" si="25"/>
        <v>6864727.6809569951</v>
      </c>
      <c r="D234" s="20">
        <f t="shared" si="21"/>
        <v>33923.711037774709</v>
      </c>
      <c r="E234" s="20">
        <f t="shared" si="22"/>
        <v>37183.941605183725</v>
      </c>
      <c r="F234" s="20">
        <f t="shared" si="23"/>
        <v>71107.652642958434</v>
      </c>
      <c r="G234" s="20">
        <f t="shared" si="24"/>
        <v>6830803.9699192205</v>
      </c>
      <c r="H234" s="20">
        <f t="shared" si="26"/>
        <v>4419196.0300807664</v>
      </c>
      <c r="I234" s="20">
        <f t="shared" si="27"/>
        <v>11508918.161941923</v>
      </c>
    </row>
    <row r="235" spans="1:9" x14ac:dyDescent="0.2">
      <c r="A235" s="24">
        <v>19</v>
      </c>
      <c r="B235" s="24">
        <v>9</v>
      </c>
      <c r="C235" s="20">
        <f t="shared" si="25"/>
        <v>6830803.9699192205</v>
      </c>
      <c r="D235" s="20">
        <f t="shared" si="21"/>
        <v>34107.464472562657</v>
      </c>
      <c r="E235" s="20">
        <f t="shared" si="22"/>
        <v>37000.188170395777</v>
      </c>
      <c r="F235" s="20">
        <f t="shared" si="23"/>
        <v>71107.652642958434</v>
      </c>
      <c r="G235" s="20">
        <f t="shared" si="24"/>
        <v>6796696.5054466575</v>
      </c>
      <c r="H235" s="20">
        <f t="shared" si="26"/>
        <v>4453303.4945533294</v>
      </c>
      <c r="I235" s="20">
        <f t="shared" si="27"/>
        <v>11545918.350112319</v>
      </c>
    </row>
    <row r="236" spans="1:9" x14ac:dyDescent="0.2">
      <c r="A236" s="24">
        <v>19</v>
      </c>
      <c r="B236" s="24">
        <v>10</v>
      </c>
      <c r="C236" s="20">
        <f t="shared" si="25"/>
        <v>6796696.5054466575</v>
      </c>
      <c r="D236" s="20">
        <f t="shared" si="21"/>
        <v>34292.213238455704</v>
      </c>
      <c r="E236" s="20">
        <f t="shared" si="22"/>
        <v>36815.439404502729</v>
      </c>
      <c r="F236" s="20">
        <f t="shared" si="23"/>
        <v>71107.652642958434</v>
      </c>
      <c r="G236" s="20">
        <f t="shared" si="24"/>
        <v>6762404.2922082022</v>
      </c>
      <c r="H236" s="20">
        <f t="shared" si="26"/>
        <v>4487595.7077917848</v>
      </c>
      <c r="I236" s="20">
        <f t="shared" si="27"/>
        <v>11582733.789516822</v>
      </c>
    </row>
    <row r="237" spans="1:9" x14ac:dyDescent="0.2">
      <c r="A237" s="24">
        <v>19</v>
      </c>
      <c r="B237" s="24">
        <v>11</v>
      </c>
      <c r="C237" s="20">
        <f t="shared" si="25"/>
        <v>6762404.2922082022</v>
      </c>
      <c r="D237" s="20">
        <f t="shared" si="21"/>
        <v>34477.962726830672</v>
      </c>
      <c r="E237" s="20">
        <f t="shared" si="22"/>
        <v>36629.689916127762</v>
      </c>
      <c r="F237" s="20">
        <f t="shared" si="23"/>
        <v>71107.652642958434</v>
      </c>
      <c r="G237" s="20">
        <f t="shared" si="24"/>
        <v>6727926.3294813717</v>
      </c>
      <c r="H237" s="20">
        <f t="shared" si="26"/>
        <v>4522073.6705186153</v>
      </c>
      <c r="I237" s="20">
        <f t="shared" si="27"/>
        <v>11619363.47943295</v>
      </c>
    </row>
    <row r="238" spans="1:9" x14ac:dyDescent="0.2">
      <c r="A238" s="24">
        <v>19</v>
      </c>
      <c r="B238" s="24">
        <v>12</v>
      </c>
      <c r="C238" s="20">
        <f t="shared" si="25"/>
        <v>6727926.3294813717</v>
      </c>
      <c r="D238" s="20">
        <f t="shared" si="21"/>
        <v>34664.718358267673</v>
      </c>
      <c r="E238" s="20">
        <f t="shared" si="22"/>
        <v>36442.93428469076</v>
      </c>
      <c r="F238" s="20">
        <f t="shared" si="23"/>
        <v>71107.652642958434</v>
      </c>
      <c r="G238" s="20">
        <f t="shared" si="24"/>
        <v>6693261.6111231036</v>
      </c>
      <c r="H238" s="20">
        <f t="shared" si="26"/>
        <v>4556738.3888768833</v>
      </c>
      <c r="I238" s="20">
        <f t="shared" si="27"/>
        <v>11655806.413717641</v>
      </c>
    </row>
    <row r="239" spans="1:9" x14ac:dyDescent="0.2">
      <c r="A239" s="24">
        <v>20</v>
      </c>
      <c r="B239" s="24">
        <v>1</v>
      </c>
      <c r="C239" s="20">
        <f t="shared" si="25"/>
        <v>6693261.6111231036</v>
      </c>
      <c r="D239" s="20">
        <f t="shared" si="21"/>
        <v>34852.485582708287</v>
      </c>
      <c r="E239" s="20">
        <f t="shared" si="22"/>
        <v>36255.167060250147</v>
      </c>
      <c r="F239" s="20">
        <f t="shared" si="23"/>
        <v>71107.652642958434</v>
      </c>
      <c r="G239" s="20">
        <f t="shared" si="24"/>
        <v>6658409.1255403953</v>
      </c>
      <c r="H239" s="20">
        <f t="shared" si="26"/>
        <v>4591590.8744595917</v>
      </c>
      <c r="I239" s="20">
        <f t="shared" si="27"/>
        <v>11692061.580777891</v>
      </c>
    </row>
    <row r="240" spans="1:9" x14ac:dyDescent="0.2">
      <c r="A240" s="24">
        <v>20</v>
      </c>
      <c r="B240" s="24">
        <v>2</v>
      </c>
      <c r="C240" s="20">
        <f t="shared" si="25"/>
        <v>6658409.1255403953</v>
      </c>
      <c r="D240" s="20">
        <f t="shared" si="21"/>
        <v>35041.269879614621</v>
      </c>
      <c r="E240" s="20">
        <f t="shared" si="22"/>
        <v>36066.382763343812</v>
      </c>
      <c r="F240" s="20">
        <f t="shared" si="23"/>
        <v>71107.652642958434</v>
      </c>
      <c r="G240" s="20">
        <f t="shared" si="24"/>
        <v>6623367.8556607803</v>
      </c>
      <c r="H240" s="20">
        <f t="shared" si="26"/>
        <v>4626632.1443392066</v>
      </c>
      <c r="I240" s="20">
        <f t="shared" si="27"/>
        <v>11728127.963541234</v>
      </c>
    </row>
    <row r="241" spans="1:9" x14ac:dyDescent="0.2">
      <c r="A241" s="24">
        <v>20</v>
      </c>
      <c r="B241" s="24">
        <v>3</v>
      </c>
      <c r="C241" s="20">
        <f t="shared" si="25"/>
        <v>6623367.8556607803</v>
      </c>
      <c r="D241" s="20">
        <f t="shared" si="21"/>
        <v>35231.076758129209</v>
      </c>
      <c r="E241" s="20">
        <f t="shared" si="22"/>
        <v>35876.575884829224</v>
      </c>
      <c r="F241" s="20">
        <f t="shared" si="23"/>
        <v>71107.652642958434</v>
      </c>
      <c r="G241" s="20">
        <f t="shared" si="24"/>
        <v>6588136.7789026508</v>
      </c>
      <c r="H241" s="20">
        <f t="shared" si="26"/>
        <v>4661863.2210973362</v>
      </c>
      <c r="I241" s="20">
        <f t="shared" si="27"/>
        <v>11764004.539426062</v>
      </c>
    </row>
    <row r="242" spans="1:9" x14ac:dyDescent="0.2">
      <c r="A242" s="24">
        <v>20</v>
      </c>
      <c r="B242" s="24">
        <v>4</v>
      </c>
      <c r="C242" s="20">
        <f t="shared" si="25"/>
        <v>6588136.7789026508</v>
      </c>
      <c r="D242" s="20">
        <f t="shared" si="21"/>
        <v>35421.911757235743</v>
      </c>
      <c r="E242" s="20">
        <f t="shared" si="22"/>
        <v>35685.740885722691</v>
      </c>
      <c r="F242" s="20">
        <f t="shared" si="23"/>
        <v>71107.652642958434</v>
      </c>
      <c r="G242" s="20">
        <f t="shared" si="24"/>
        <v>6552714.8671454154</v>
      </c>
      <c r="H242" s="20">
        <f t="shared" si="26"/>
        <v>4697285.1328545716</v>
      </c>
      <c r="I242" s="20">
        <f t="shared" si="27"/>
        <v>11799690.280311786</v>
      </c>
    </row>
    <row r="243" spans="1:9" x14ac:dyDescent="0.2">
      <c r="A243" s="24">
        <v>20</v>
      </c>
      <c r="B243" s="24">
        <v>5</v>
      </c>
      <c r="C243" s="20">
        <f t="shared" si="25"/>
        <v>6552714.8671454154</v>
      </c>
      <c r="D243" s="20">
        <f t="shared" si="21"/>
        <v>35613.780445920762</v>
      </c>
      <c r="E243" s="20">
        <f t="shared" si="22"/>
        <v>35493.872197037672</v>
      </c>
      <c r="F243" s="20">
        <f t="shared" si="23"/>
        <v>71107.652642958434</v>
      </c>
      <c r="G243" s="20">
        <f t="shared" si="24"/>
        <v>6517101.0866994951</v>
      </c>
      <c r="H243" s="20">
        <f t="shared" si="26"/>
        <v>4732898.9133004919</v>
      </c>
      <c r="I243" s="20">
        <f t="shared" si="27"/>
        <v>11835184.152508823</v>
      </c>
    </row>
    <row r="244" spans="1:9" x14ac:dyDescent="0.2">
      <c r="A244" s="24">
        <v>20</v>
      </c>
      <c r="B244" s="24">
        <v>6</v>
      </c>
      <c r="C244" s="20">
        <f t="shared" si="25"/>
        <v>6517101.0866994951</v>
      </c>
      <c r="D244" s="20">
        <f t="shared" si="21"/>
        <v>35806.688423336171</v>
      </c>
      <c r="E244" s="20">
        <f t="shared" si="22"/>
        <v>35300.964219622263</v>
      </c>
      <c r="F244" s="20">
        <f t="shared" si="23"/>
        <v>71107.652642958434</v>
      </c>
      <c r="G244" s="20">
        <f t="shared" si="24"/>
        <v>6481294.3982761586</v>
      </c>
      <c r="H244" s="20">
        <f t="shared" si="26"/>
        <v>4768705.6017238284</v>
      </c>
      <c r="I244" s="20">
        <f t="shared" si="27"/>
        <v>11870485.116728446</v>
      </c>
    </row>
    <row r="245" spans="1:9" x14ac:dyDescent="0.2">
      <c r="A245" s="24">
        <v>20</v>
      </c>
      <c r="B245" s="24">
        <v>7</v>
      </c>
      <c r="C245" s="20">
        <f t="shared" si="25"/>
        <v>6481294.3982761586</v>
      </c>
      <c r="D245" s="20">
        <f t="shared" si="21"/>
        <v>36000.641318962575</v>
      </c>
      <c r="E245" s="20">
        <f t="shared" si="22"/>
        <v>35107.011323995859</v>
      </c>
      <c r="F245" s="20">
        <f t="shared" si="23"/>
        <v>71107.652642958434</v>
      </c>
      <c r="G245" s="20">
        <f t="shared" si="24"/>
        <v>6445293.7569571957</v>
      </c>
      <c r="H245" s="20">
        <f t="shared" si="26"/>
        <v>4804706.2430427913</v>
      </c>
      <c r="I245" s="20">
        <f t="shared" si="27"/>
        <v>11905592.128052441</v>
      </c>
    </row>
    <row r="246" spans="1:9" x14ac:dyDescent="0.2">
      <c r="A246" s="24">
        <v>20</v>
      </c>
      <c r="B246" s="24">
        <v>8</v>
      </c>
      <c r="C246" s="20">
        <f t="shared" si="25"/>
        <v>6445293.7569571957</v>
      </c>
      <c r="D246" s="20">
        <f t="shared" si="21"/>
        <v>36195.644792773623</v>
      </c>
      <c r="E246" s="20">
        <f t="shared" si="22"/>
        <v>34912.007850184811</v>
      </c>
      <c r="F246" s="20">
        <f t="shared" si="23"/>
        <v>71107.652642958434</v>
      </c>
      <c r="G246" s="20">
        <f t="shared" si="24"/>
        <v>6409098.1121644219</v>
      </c>
      <c r="H246" s="20">
        <f t="shared" si="26"/>
        <v>4840901.887835565</v>
      </c>
      <c r="I246" s="20">
        <f t="shared" si="27"/>
        <v>11940504.135902626</v>
      </c>
    </row>
    <row r="247" spans="1:9" x14ac:dyDescent="0.2">
      <c r="A247" s="24">
        <v>20</v>
      </c>
      <c r="B247" s="24">
        <v>9</v>
      </c>
      <c r="C247" s="20">
        <f t="shared" si="25"/>
        <v>6409098.1121644219</v>
      </c>
      <c r="D247" s="20">
        <f t="shared" si="21"/>
        <v>36391.704535401142</v>
      </c>
      <c r="E247" s="20">
        <f t="shared" si="22"/>
        <v>34715.948107557291</v>
      </c>
      <c r="F247" s="20">
        <f t="shared" si="23"/>
        <v>71107.652642958434</v>
      </c>
      <c r="G247" s="20">
        <f t="shared" si="24"/>
        <v>6372706.4076290205</v>
      </c>
      <c r="H247" s="20">
        <f t="shared" si="26"/>
        <v>4877293.5923709664</v>
      </c>
      <c r="I247" s="20">
        <f t="shared" si="27"/>
        <v>11975220.084010184</v>
      </c>
    </row>
    <row r="248" spans="1:9" x14ac:dyDescent="0.2">
      <c r="A248" s="24">
        <v>20</v>
      </c>
      <c r="B248" s="24">
        <v>10</v>
      </c>
      <c r="C248" s="20">
        <f t="shared" si="25"/>
        <v>6372706.4076290205</v>
      </c>
      <c r="D248" s="20">
        <f t="shared" si="21"/>
        <v>36588.826268301236</v>
      </c>
      <c r="E248" s="20">
        <f t="shared" si="22"/>
        <v>34518.826374657197</v>
      </c>
      <c r="F248" s="20">
        <f t="shared" si="23"/>
        <v>71107.652642958434</v>
      </c>
      <c r="G248" s="20">
        <f t="shared" si="24"/>
        <v>6336117.5813607192</v>
      </c>
      <c r="H248" s="20">
        <f t="shared" si="26"/>
        <v>4913882.4186392678</v>
      </c>
      <c r="I248" s="20">
        <f t="shared" si="27"/>
        <v>12009738.910384841</v>
      </c>
    </row>
    <row r="249" spans="1:9" x14ac:dyDescent="0.2">
      <c r="A249" s="24">
        <v>20</v>
      </c>
      <c r="B249" s="24">
        <v>11</v>
      </c>
      <c r="C249" s="20">
        <f t="shared" si="25"/>
        <v>6336117.5813607192</v>
      </c>
      <c r="D249" s="20">
        <f t="shared" si="21"/>
        <v>36787.015743921205</v>
      </c>
      <c r="E249" s="20">
        <f t="shared" si="22"/>
        <v>34320.636899037228</v>
      </c>
      <c r="F249" s="20">
        <f t="shared" si="23"/>
        <v>71107.652642958434</v>
      </c>
      <c r="G249" s="20">
        <f t="shared" si="24"/>
        <v>6299330.5656167977</v>
      </c>
      <c r="H249" s="20">
        <f t="shared" si="26"/>
        <v>4950669.4343831893</v>
      </c>
      <c r="I249" s="20">
        <f t="shared" si="27"/>
        <v>12044059.547283879</v>
      </c>
    </row>
    <row r="250" spans="1:9" x14ac:dyDescent="0.2">
      <c r="A250" s="24">
        <v>20</v>
      </c>
      <c r="B250" s="24">
        <v>12</v>
      </c>
      <c r="C250" s="20">
        <f t="shared" si="25"/>
        <v>6299330.5656167977</v>
      </c>
      <c r="D250" s="20">
        <f t="shared" si="21"/>
        <v>36986.278745867443</v>
      </c>
      <c r="E250" s="20">
        <f t="shared" si="22"/>
        <v>34121.373897090991</v>
      </c>
      <c r="F250" s="20">
        <f t="shared" si="23"/>
        <v>71107.652642958434</v>
      </c>
      <c r="G250" s="20">
        <f t="shared" si="24"/>
        <v>6262344.2868709303</v>
      </c>
      <c r="H250" s="20">
        <f t="shared" si="26"/>
        <v>4987655.7131290566</v>
      </c>
      <c r="I250" s="20">
        <f t="shared" si="27"/>
        <v>12078180.921180969</v>
      </c>
    </row>
    <row r="251" spans="1:9" x14ac:dyDescent="0.2">
      <c r="A251" s="24">
        <v>21</v>
      </c>
      <c r="B251" s="24">
        <v>1</v>
      </c>
      <c r="C251" s="20">
        <f t="shared" si="25"/>
        <v>6262344.2868709303</v>
      </c>
      <c r="D251" s="20">
        <f t="shared" si="21"/>
        <v>37186.62108907423</v>
      </c>
      <c r="E251" s="20">
        <f t="shared" si="22"/>
        <v>33921.031553884204</v>
      </c>
      <c r="F251" s="20">
        <f t="shared" si="23"/>
        <v>71107.652642958434</v>
      </c>
      <c r="G251" s="20">
        <f t="shared" si="24"/>
        <v>6225157.6657818565</v>
      </c>
      <c r="H251" s="20">
        <f t="shared" si="26"/>
        <v>5024842.3342181304</v>
      </c>
      <c r="I251" s="20">
        <f t="shared" si="27"/>
        <v>12112101.952734854</v>
      </c>
    </row>
    <row r="252" spans="1:9" x14ac:dyDescent="0.2">
      <c r="A252" s="24">
        <v>21</v>
      </c>
      <c r="B252" s="24">
        <v>2</v>
      </c>
      <c r="C252" s="20">
        <f t="shared" si="25"/>
        <v>6225157.6657818565</v>
      </c>
      <c r="D252" s="20">
        <f t="shared" si="21"/>
        <v>37388.048619973379</v>
      </c>
      <c r="E252" s="20">
        <f t="shared" si="22"/>
        <v>33719.604022985055</v>
      </c>
      <c r="F252" s="20">
        <f t="shared" si="23"/>
        <v>71107.652642958434</v>
      </c>
      <c r="G252" s="20">
        <f t="shared" si="24"/>
        <v>6187769.617161883</v>
      </c>
      <c r="H252" s="20">
        <f t="shared" si="26"/>
        <v>5062230.3828381039</v>
      </c>
      <c r="I252" s="20">
        <f t="shared" si="27"/>
        <v>12145821.556757839</v>
      </c>
    </row>
    <row r="253" spans="1:9" x14ac:dyDescent="0.2">
      <c r="A253" s="24">
        <v>21</v>
      </c>
      <c r="B253" s="24">
        <v>3</v>
      </c>
      <c r="C253" s="20">
        <f t="shared" si="25"/>
        <v>6187769.617161883</v>
      </c>
      <c r="D253" s="20">
        <f t="shared" si="21"/>
        <v>37590.567216664895</v>
      </c>
      <c r="E253" s="20">
        <f t="shared" si="22"/>
        <v>33517.085426293539</v>
      </c>
      <c r="F253" s="20">
        <f t="shared" si="23"/>
        <v>71107.652642958434</v>
      </c>
      <c r="G253" s="20">
        <f t="shared" si="24"/>
        <v>6150179.0499452185</v>
      </c>
      <c r="H253" s="20">
        <f t="shared" si="26"/>
        <v>5099820.9500547685</v>
      </c>
      <c r="I253" s="20">
        <f t="shared" si="27"/>
        <v>12179338.642184133</v>
      </c>
    </row>
    <row r="254" spans="1:9" x14ac:dyDescent="0.2">
      <c r="A254" s="24">
        <v>21</v>
      </c>
      <c r="B254" s="24">
        <v>4</v>
      </c>
      <c r="C254" s="20">
        <f t="shared" si="25"/>
        <v>6150179.0499452185</v>
      </c>
      <c r="D254" s="20">
        <f t="shared" si="21"/>
        <v>37794.182789088496</v>
      </c>
      <c r="E254" s="20">
        <f t="shared" si="22"/>
        <v>33313.469853869938</v>
      </c>
      <c r="F254" s="20">
        <f t="shared" si="23"/>
        <v>71107.652642958434</v>
      </c>
      <c r="G254" s="20">
        <f t="shared" si="24"/>
        <v>6112384.8671561303</v>
      </c>
      <c r="H254" s="20">
        <f t="shared" si="26"/>
        <v>5137615.1328438567</v>
      </c>
      <c r="I254" s="20">
        <f t="shared" si="27"/>
        <v>12212652.112038003</v>
      </c>
    </row>
    <row r="255" spans="1:9" x14ac:dyDescent="0.2">
      <c r="A255" s="24">
        <v>21</v>
      </c>
      <c r="B255" s="24">
        <v>5</v>
      </c>
      <c r="C255" s="20">
        <f t="shared" si="25"/>
        <v>6112384.8671561303</v>
      </c>
      <c r="D255" s="20">
        <f t="shared" si="21"/>
        <v>37998.901279196063</v>
      </c>
      <c r="E255" s="20">
        <f t="shared" si="22"/>
        <v>33108.751363762371</v>
      </c>
      <c r="F255" s="20">
        <f t="shared" si="23"/>
        <v>71107.652642958434</v>
      </c>
      <c r="G255" s="20">
        <f t="shared" si="24"/>
        <v>6074385.9658769341</v>
      </c>
      <c r="H255" s="20">
        <f t="shared" si="26"/>
        <v>5175614.0341230528</v>
      </c>
      <c r="I255" s="20">
        <f t="shared" si="27"/>
        <v>12245760.863401765</v>
      </c>
    </row>
    <row r="256" spans="1:9" x14ac:dyDescent="0.2">
      <c r="A256" s="24">
        <v>21</v>
      </c>
      <c r="B256" s="24">
        <v>6</v>
      </c>
      <c r="C256" s="20">
        <f t="shared" si="25"/>
        <v>6074385.9658769341</v>
      </c>
      <c r="D256" s="20">
        <f t="shared" si="21"/>
        <v>38204.728661125038</v>
      </c>
      <c r="E256" s="20">
        <f t="shared" si="22"/>
        <v>32902.923981833395</v>
      </c>
      <c r="F256" s="20">
        <f t="shared" si="23"/>
        <v>71107.652642958434</v>
      </c>
      <c r="G256" s="20">
        <f t="shared" si="24"/>
        <v>6036181.2372158095</v>
      </c>
      <c r="H256" s="20">
        <f t="shared" si="26"/>
        <v>5213818.7627841774</v>
      </c>
      <c r="I256" s="20">
        <f t="shared" si="27"/>
        <v>12278663.787383599</v>
      </c>
    </row>
    <row r="257" spans="1:9" x14ac:dyDescent="0.2">
      <c r="A257" s="24">
        <v>21</v>
      </c>
      <c r="B257" s="24">
        <v>7</v>
      </c>
      <c r="C257" s="20">
        <f t="shared" si="25"/>
        <v>6036181.2372158095</v>
      </c>
      <c r="D257" s="20">
        <f t="shared" si="21"/>
        <v>38411.670941372795</v>
      </c>
      <c r="E257" s="20">
        <f t="shared" si="22"/>
        <v>32695.981701585635</v>
      </c>
      <c r="F257" s="20">
        <f t="shared" si="23"/>
        <v>71107.652642958434</v>
      </c>
      <c r="G257" s="20">
        <f t="shared" si="24"/>
        <v>5997769.5662744371</v>
      </c>
      <c r="H257" s="20">
        <f t="shared" si="26"/>
        <v>5252230.4337255498</v>
      </c>
      <c r="I257" s="20">
        <f t="shared" si="27"/>
        <v>12311359.769085186</v>
      </c>
    </row>
    <row r="258" spans="1:9" x14ac:dyDescent="0.2">
      <c r="A258" s="24">
        <v>21</v>
      </c>
      <c r="B258" s="24">
        <v>8</v>
      </c>
      <c r="C258" s="20">
        <f t="shared" si="25"/>
        <v>5997769.5662744371</v>
      </c>
      <c r="D258" s="20">
        <f t="shared" si="21"/>
        <v>38619.7341589719</v>
      </c>
      <c r="E258" s="20">
        <f t="shared" si="22"/>
        <v>32487.918483986534</v>
      </c>
      <c r="F258" s="20">
        <f t="shared" si="23"/>
        <v>71107.652642958434</v>
      </c>
      <c r="G258" s="20">
        <f t="shared" si="24"/>
        <v>5959149.8321154648</v>
      </c>
      <c r="H258" s="20">
        <f t="shared" si="26"/>
        <v>5290850.1678845221</v>
      </c>
      <c r="I258" s="20">
        <f t="shared" si="27"/>
        <v>12343847.687569173</v>
      </c>
    </row>
    <row r="259" spans="1:9" x14ac:dyDescent="0.2">
      <c r="A259" s="24">
        <v>21</v>
      </c>
      <c r="B259" s="24">
        <v>9</v>
      </c>
      <c r="C259" s="20">
        <f t="shared" si="25"/>
        <v>5959149.8321154648</v>
      </c>
      <c r="D259" s="20">
        <f t="shared" si="21"/>
        <v>38828.924385666338</v>
      </c>
      <c r="E259" s="20">
        <f t="shared" si="22"/>
        <v>32278.728257292099</v>
      </c>
      <c r="F259" s="20">
        <f t="shared" si="23"/>
        <v>71107.652642958434</v>
      </c>
      <c r="G259" s="20">
        <f t="shared" si="24"/>
        <v>5920320.9077297989</v>
      </c>
      <c r="H259" s="20">
        <f t="shared" si="26"/>
        <v>5329679.092270188</v>
      </c>
      <c r="I259" s="20">
        <f t="shared" si="27"/>
        <v>12376126.415826466</v>
      </c>
    </row>
    <row r="260" spans="1:9" x14ac:dyDescent="0.2">
      <c r="A260" s="24">
        <v>21</v>
      </c>
      <c r="B260" s="24">
        <v>10</v>
      </c>
      <c r="C260" s="20">
        <f t="shared" si="25"/>
        <v>5920320.9077297989</v>
      </c>
      <c r="D260" s="20">
        <f t="shared" si="21"/>
        <v>39039.247726088695</v>
      </c>
      <c r="E260" s="20">
        <f t="shared" si="22"/>
        <v>32068.404916869742</v>
      </c>
      <c r="F260" s="20">
        <f t="shared" si="23"/>
        <v>71107.652642958434</v>
      </c>
      <c r="G260" s="20">
        <f t="shared" si="24"/>
        <v>5881281.6600037105</v>
      </c>
      <c r="H260" s="20">
        <f t="shared" si="26"/>
        <v>5368718.3399962764</v>
      </c>
      <c r="I260" s="20">
        <f t="shared" si="27"/>
        <v>12408194.820743335</v>
      </c>
    </row>
    <row r="261" spans="1:9" x14ac:dyDescent="0.2">
      <c r="A261" s="24">
        <v>21</v>
      </c>
      <c r="B261" s="24">
        <v>11</v>
      </c>
      <c r="C261" s="20">
        <f t="shared" si="25"/>
        <v>5881281.6600037105</v>
      </c>
      <c r="D261" s="20">
        <f t="shared" si="21"/>
        <v>39250.710317938327</v>
      </c>
      <c r="E261" s="20">
        <f t="shared" si="22"/>
        <v>31856.942325020103</v>
      </c>
      <c r="F261" s="20">
        <f t="shared" si="23"/>
        <v>71107.652642958434</v>
      </c>
      <c r="G261" s="20">
        <f t="shared" si="24"/>
        <v>5842030.9496857719</v>
      </c>
      <c r="H261" s="20">
        <f t="shared" si="26"/>
        <v>5407969.050314215</v>
      </c>
      <c r="I261" s="20">
        <f t="shared" si="27"/>
        <v>12440051.763068356</v>
      </c>
    </row>
    <row r="262" spans="1:9" x14ac:dyDescent="0.2">
      <c r="A262" s="24">
        <v>21</v>
      </c>
      <c r="B262" s="24">
        <v>12</v>
      </c>
      <c r="C262" s="20">
        <f t="shared" si="25"/>
        <v>5842030.9496857719</v>
      </c>
      <c r="D262" s="20">
        <f t="shared" si="21"/>
        <v>39463.318332160503</v>
      </c>
      <c r="E262" s="20">
        <f t="shared" si="22"/>
        <v>31644.334310797931</v>
      </c>
      <c r="F262" s="20">
        <f t="shared" si="23"/>
        <v>71107.652642958434</v>
      </c>
      <c r="G262" s="20">
        <f t="shared" si="24"/>
        <v>5802567.6313536111</v>
      </c>
      <c r="H262" s="20">
        <f t="shared" si="26"/>
        <v>5447432.3686463758</v>
      </c>
      <c r="I262" s="20">
        <f t="shared" si="27"/>
        <v>12471696.097379154</v>
      </c>
    </row>
    <row r="263" spans="1:9" x14ac:dyDescent="0.2">
      <c r="A263" s="24">
        <v>22</v>
      </c>
      <c r="B263" s="24">
        <v>1</v>
      </c>
      <c r="C263" s="20">
        <f t="shared" si="25"/>
        <v>5802567.6313536111</v>
      </c>
      <c r="D263" s="20">
        <f t="shared" si="21"/>
        <v>39677.077973126376</v>
      </c>
      <c r="E263" s="20">
        <f t="shared" si="22"/>
        <v>31430.574669832062</v>
      </c>
      <c r="F263" s="20">
        <f t="shared" si="23"/>
        <v>71107.652642958434</v>
      </c>
      <c r="G263" s="20">
        <f t="shared" si="24"/>
        <v>5762890.5533804847</v>
      </c>
      <c r="H263" s="20">
        <f t="shared" si="26"/>
        <v>5487109.4466195023</v>
      </c>
      <c r="I263" s="20">
        <f t="shared" si="27"/>
        <v>12503126.672048986</v>
      </c>
    </row>
    <row r="264" spans="1:9" x14ac:dyDescent="0.2">
      <c r="A264" s="24">
        <v>22</v>
      </c>
      <c r="B264" s="24">
        <v>2</v>
      </c>
      <c r="C264" s="20">
        <f t="shared" si="25"/>
        <v>5762890.5533804847</v>
      </c>
      <c r="D264" s="20">
        <f t="shared" si="21"/>
        <v>39891.995478814148</v>
      </c>
      <c r="E264" s="20">
        <f t="shared" si="22"/>
        <v>31215.65716414429</v>
      </c>
      <c r="F264" s="20">
        <f t="shared" si="23"/>
        <v>71107.652642958434</v>
      </c>
      <c r="G264" s="20">
        <f t="shared" si="24"/>
        <v>5722998.5579016702</v>
      </c>
      <c r="H264" s="20">
        <f t="shared" si="26"/>
        <v>5527001.4420983167</v>
      </c>
      <c r="I264" s="20">
        <f t="shared" si="27"/>
        <v>12534342.329213129</v>
      </c>
    </row>
    <row r="265" spans="1:9" x14ac:dyDescent="0.2">
      <c r="A265" s="24">
        <v>22</v>
      </c>
      <c r="B265" s="24">
        <v>3</v>
      </c>
      <c r="C265" s="20">
        <f t="shared" si="25"/>
        <v>5722998.5579016702</v>
      </c>
      <c r="D265" s="20">
        <f t="shared" si="21"/>
        <v>40108.077120991045</v>
      </c>
      <c r="E265" s="20">
        <f t="shared" si="22"/>
        <v>30999.575521967385</v>
      </c>
      <c r="F265" s="20">
        <f t="shared" si="23"/>
        <v>71107.652642958434</v>
      </c>
      <c r="G265" s="20">
        <f t="shared" si="24"/>
        <v>5682890.4807806788</v>
      </c>
      <c r="H265" s="20">
        <f t="shared" si="26"/>
        <v>5567109.5192193082</v>
      </c>
      <c r="I265" s="20">
        <f t="shared" si="27"/>
        <v>12565341.904735098</v>
      </c>
    </row>
    <row r="266" spans="1:9" x14ac:dyDescent="0.2">
      <c r="A266" s="24">
        <v>22</v>
      </c>
      <c r="B266" s="24">
        <v>4</v>
      </c>
      <c r="C266" s="20">
        <f t="shared" si="25"/>
        <v>5682890.4807806788</v>
      </c>
      <c r="D266" s="20">
        <f t="shared" si="21"/>
        <v>40325.329205396425</v>
      </c>
      <c r="E266" s="20">
        <f t="shared" si="22"/>
        <v>30782.323437562012</v>
      </c>
      <c r="F266" s="20">
        <f t="shared" si="23"/>
        <v>71107.652642958434</v>
      </c>
      <c r="G266" s="20">
        <f t="shared" si="24"/>
        <v>5642565.1515752822</v>
      </c>
      <c r="H266" s="20">
        <f t="shared" si="26"/>
        <v>5607434.8484247047</v>
      </c>
      <c r="I266" s="20">
        <f t="shared" si="27"/>
        <v>12596124.22817266</v>
      </c>
    </row>
    <row r="267" spans="1:9" x14ac:dyDescent="0.2">
      <c r="A267" s="24">
        <v>22</v>
      </c>
      <c r="B267" s="24">
        <v>5</v>
      </c>
      <c r="C267" s="20">
        <f t="shared" si="25"/>
        <v>5642565.1515752822</v>
      </c>
      <c r="D267" s="20">
        <f t="shared" ref="D267:D330" si="28">Monthly_Payment-E267</f>
        <v>40543.758071925651</v>
      </c>
      <c r="E267" s="20">
        <f t="shared" ref="E267:E330" si="29">C267*Interest_Rate/12</f>
        <v>30563.894571032779</v>
      </c>
      <c r="F267" s="20">
        <f t="shared" ref="F267:F330" si="30">Monthly_Payment</f>
        <v>71107.652642958434</v>
      </c>
      <c r="G267" s="20">
        <f t="shared" ref="G267:G330" si="31">C267-D267</f>
        <v>5602021.3935033567</v>
      </c>
      <c r="H267" s="20">
        <f t="shared" si="26"/>
        <v>5647978.6064966302</v>
      </c>
      <c r="I267" s="20">
        <f t="shared" si="27"/>
        <v>12626688.122743692</v>
      </c>
    </row>
    <row r="268" spans="1:9" x14ac:dyDescent="0.2">
      <c r="A268" s="24">
        <v>22</v>
      </c>
      <c r="B268" s="24">
        <v>6</v>
      </c>
      <c r="C268" s="20">
        <f t="shared" ref="C268:C331" si="32">G267</f>
        <v>5602021.3935033567</v>
      </c>
      <c r="D268" s="20">
        <f t="shared" si="28"/>
        <v>40763.370094815255</v>
      </c>
      <c r="E268" s="20">
        <f t="shared" si="29"/>
        <v>30344.282548143183</v>
      </c>
      <c r="F268" s="20">
        <f t="shared" si="30"/>
        <v>71107.652642958434</v>
      </c>
      <c r="G268" s="20">
        <f t="shared" si="31"/>
        <v>5561258.0234085415</v>
      </c>
      <c r="H268" s="20">
        <f t="shared" ref="H268:H331" si="33">H267+D268</f>
        <v>5688741.9765914455</v>
      </c>
      <c r="I268" s="20">
        <f t="shared" ref="I268:I331" si="34">I267+E268</f>
        <v>12657032.405291835</v>
      </c>
    </row>
    <row r="269" spans="1:9" x14ac:dyDescent="0.2">
      <c r="A269" s="24">
        <v>22</v>
      </c>
      <c r="B269" s="24">
        <v>7</v>
      </c>
      <c r="C269" s="20">
        <f t="shared" si="32"/>
        <v>5561258.0234085415</v>
      </c>
      <c r="D269" s="20">
        <f t="shared" si="28"/>
        <v>40984.171682828834</v>
      </c>
      <c r="E269" s="20">
        <f t="shared" si="29"/>
        <v>30123.4809601296</v>
      </c>
      <c r="F269" s="20">
        <f t="shared" si="30"/>
        <v>71107.652642958434</v>
      </c>
      <c r="G269" s="20">
        <f t="shared" si="31"/>
        <v>5520273.8517257124</v>
      </c>
      <c r="H269" s="20">
        <f t="shared" si="33"/>
        <v>5729726.1482742745</v>
      </c>
      <c r="I269" s="20">
        <f t="shared" si="34"/>
        <v>12687155.886251964</v>
      </c>
    </row>
    <row r="270" spans="1:9" x14ac:dyDescent="0.2">
      <c r="A270" s="24">
        <v>22</v>
      </c>
      <c r="B270" s="24">
        <v>8</v>
      </c>
      <c r="C270" s="20">
        <f t="shared" si="32"/>
        <v>5520273.8517257124</v>
      </c>
      <c r="D270" s="20">
        <f t="shared" si="28"/>
        <v>41206.169279444162</v>
      </c>
      <c r="E270" s="20">
        <f t="shared" si="29"/>
        <v>29901.483363514275</v>
      </c>
      <c r="F270" s="20">
        <f t="shared" si="30"/>
        <v>71107.652642958434</v>
      </c>
      <c r="G270" s="20">
        <f t="shared" si="31"/>
        <v>5479067.6824462684</v>
      </c>
      <c r="H270" s="20">
        <f t="shared" si="33"/>
        <v>5770932.3175537186</v>
      </c>
      <c r="I270" s="20">
        <f t="shared" si="34"/>
        <v>12717057.369615478</v>
      </c>
    </row>
    <row r="271" spans="1:9" x14ac:dyDescent="0.2">
      <c r="A271" s="24">
        <v>22</v>
      </c>
      <c r="B271" s="24">
        <v>9</v>
      </c>
      <c r="C271" s="20">
        <f t="shared" si="32"/>
        <v>5479067.6824462684</v>
      </c>
      <c r="D271" s="20">
        <f t="shared" si="28"/>
        <v>41429.369363041144</v>
      </c>
      <c r="E271" s="20">
        <f t="shared" si="29"/>
        <v>29678.28327991729</v>
      </c>
      <c r="F271" s="20">
        <f t="shared" si="30"/>
        <v>71107.652642958434</v>
      </c>
      <c r="G271" s="20">
        <f t="shared" si="31"/>
        <v>5437638.3130832268</v>
      </c>
      <c r="H271" s="20">
        <f t="shared" si="33"/>
        <v>5812361.6869167602</v>
      </c>
      <c r="I271" s="20">
        <f t="shared" si="34"/>
        <v>12746735.652895397</v>
      </c>
    </row>
    <row r="272" spans="1:9" x14ac:dyDescent="0.2">
      <c r="A272" s="24">
        <v>22</v>
      </c>
      <c r="B272" s="24">
        <v>10</v>
      </c>
      <c r="C272" s="20">
        <f t="shared" si="32"/>
        <v>5437638.3130832268</v>
      </c>
      <c r="D272" s="20">
        <f t="shared" si="28"/>
        <v>41653.778447090954</v>
      </c>
      <c r="E272" s="20">
        <f t="shared" si="29"/>
        <v>29453.87419586748</v>
      </c>
      <c r="F272" s="20">
        <f t="shared" si="30"/>
        <v>71107.652642958434</v>
      </c>
      <c r="G272" s="20">
        <f t="shared" si="31"/>
        <v>5395984.5346361361</v>
      </c>
      <c r="H272" s="20">
        <f t="shared" si="33"/>
        <v>5854015.4653638508</v>
      </c>
      <c r="I272" s="20">
        <f t="shared" si="34"/>
        <v>12776189.527091265</v>
      </c>
    </row>
    <row r="273" spans="1:9" x14ac:dyDescent="0.2">
      <c r="A273" s="24">
        <v>22</v>
      </c>
      <c r="B273" s="24">
        <v>11</v>
      </c>
      <c r="C273" s="20">
        <f t="shared" si="32"/>
        <v>5395984.5346361361</v>
      </c>
      <c r="D273" s="20">
        <f t="shared" si="28"/>
        <v>41879.403080346034</v>
      </c>
      <c r="E273" s="20">
        <f t="shared" si="29"/>
        <v>29228.249562612404</v>
      </c>
      <c r="F273" s="20">
        <f t="shared" si="30"/>
        <v>71107.652642958434</v>
      </c>
      <c r="G273" s="20">
        <f t="shared" si="31"/>
        <v>5354105.1315557901</v>
      </c>
      <c r="H273" s="20">
        <f t="shared" si="33"/>
        <v>5895894.8684441969</v>
      </c>
      <c r="I273" s="20">
        <f t="shared" si="34"/>
        <v>12805417.776653877</v>
      </c>
    </row>
    <row r="274" spans="1:9" x14ac:dyDescent="0.2">
      <c r="A274" s="24">
        <v>22</v>
      </c>
      <c r="B274" s="24">
        <v>12</v>
      </c>
      <c r="C274" s="20">
        <f t="shared" si="32"/>
        <v>5354105.1315557901</v>
      </c>
      <c r="D274" s="20">
        <f t="shared" si="28"/>
        <v>42106.249847031242</v>
      </c>
      <c r="E274" s="20">
        <f t="shared" si="29"/>
        <v>29001.402795927195</v>
      </c>
      <c r="F274" s="20">
        <f t="shared" si="30"/>
        <v>71107.652642958434</v>
      </c>
      <c r="G274" s="20">
        <f t="shared" si="31"/>
        <v>5311998.8817087589</v>
      </c>
      <c r="H274" s="20">
        <f t="shared" si="33"/>
        <v>5938001.1182912281</v>
      </c>
      <c r="I274" s="20">
        <f t="shared" si="34"/>
        <v>12834419.179449804</v>
      </c>
    </row>
    <row r="275" spans="1:9" x14ac:dyDescent="0.2">
      <c r="A275" s="24">
        <v>23</v>
      </c>
      <c r="B275" s="24">
        <v>1</v>
      </c>
      <c r="C275" s="20">
        <f t="shared" si="32"/>
        <v>5311998.8817087589</v>
      </c>
      <c r="D275" s="20">
        <f t="shared" si="28"/>
        <v>42334.325367035985</v>
      </c>
      <c r="E275" s="20">
        <f t="shared" si="29"/>
        <v>28773.327275922446</v>
      </c>
      <c r="F275" s="20">
        <f t="shared" si="30"/>
        <v>71107.652642958434</v>
      </c>
      <c r="G275" s="20">
        <f t="shared" si="31"/>
        <v>5269664.5563417226</v>
      </c>
      <c r="H275" s="20">
        <f t="shared" si="33"/>
        <v>5980335.4436582644</v>
      </c>
      <c r="I275" s="20">
        <f t="shared" si="34"/>
        <v>12863192.506725727</v>
      </c>
    </row>
    <row r="276" spans="1:9" x14ac:dyDescent="0.2">
      <c r="A276" s="24">
        <v>23</v>
      </c>
      <c r="B276" s="24">
        <v>2</v>
      </c>
      <c r="C276" s="20">
        <f t="shared" si="32"/>
        <v>5269664.5563417226</v>
      </c>
      <c r="D276" s="20">
        <f t="shared" si="28"/>
        <v>42563.636296107434</v>
      </c>
      <c r="E276" s="20">
        <f t="shared" si="29"/>
        <v>28544.016346851</v>
      </c>
      <c r="F276" s="20">
        <f t="shared" si="30"/>
        <v>71107.652642958434</v>
      </c>
      <c r="G276" s="20">
        <f t="shared" si="31"/>
        <v>5227100.9200456152</v>
      </c>
      <c r="H276" s="20">
        <f t="shared" si="33"/>
        <v>6022899.0799543718</v>
      </c>
      <c r="I276" s="20">
        <f t="shared" si="34"/>
        <v>12891736.523072578</v>
      </c>
    </row>
    <row r="277" spans="1:9" x14ac:dyDescent="0.2">
      <c r="A277" s="24">
        <v>23</v>
      </c>
      <c r="B277" s="24">
        <v>3</v>
      </c>
      <c r="C277" s="20">
        <f t="shared" si="32"/>
        <v>5227100.9200456152</v>
      </c>
      <c r="D277" s="20">
        <f t="shared" si="28"/>
        <v>42794.189326044681</v>
      </c>
      <c r="E277" s="20">
        <f t="shared" si="29"/>
        <v>28313.463316913749</v>
      </c>
      <c r="F277" s="20">
        <f t="shared" si="30"/>
        <v>71107.652642958434</v>
      </c>
      <c r="G277" s="20">
        <f t="shared" si="31"/>
        <v>5184306.7307195701</v>
      </c>
      <c r="H277" s="20">
        <f t="shared" si="33"/>
        <v>6065693.2692804169</v>
      </c>
      <c r="I277" s="20">
        <f t="shared" si="34"/>
        <v>12920049.986389492</v>
      </c>
    </row>
    <row r="278" spans="1:9" x14ac:dyDescent="0.2">
      <c r="A278" s="24">
        <v>23</v>
      </c>
      <c r="B278" s="24">
        <v>4</v>
      </c>
      <c r="C278" s="20">
        <f t="shared" si="32"/>
        <v>5184306.7307195701</v>
      </c>
      <c r="D278" s="20">
        <f t="shared" si="28"/>
        <v>43025.991184894097</v>
      </c>
      <c r="E278" s="20">
        <f t="shared" si="29"/>
        <v>28081.66145806434</v>
      </c>
      <c r="F278" s="20">
        <f t="shared" si="30"/>
        <v>71107.652642958434</v>
      </c>
      <c r="G278" s="20">
        <f t="shared" si="31"/>
        <v>5141280.7395346761</v>
      </c>
      <c r="H278" s="20">
        <f t="shared" si="33"/>
        <v>6108719.2604653109</v>
      </c>
      <c r="I278" s="20">
        <f t="shared" si="34"/>
        <v>12948131.647847556</v>
      </c>
    </row>
    <row r="279" spans="1:9" x14ac:dyDescent="0.2">
      <c r="A279" s="24">
        <v>23</v>
      </c>
      <c r="B279" s="24">
        <v>5</v>
      </c>
      <c r="C279" s="20">
        <f t="shared" si="32"/>
        <v>5141280.7395346761</v>
      </c>
      <c r="D279" s="20">
        <f t="shared" si="28"/>
        <v>43259.048637145606</v>
      </c>
      <c r="E279" s="20">
        <f t="shared" si="29"/>
        <v>27848.604005812827</v>
      </c>
      <c r="F279" s="20">
        <f t="shared" si="30"/>
        <v>71107.652642958434</v>
      </c>
      <c r="G279" s="20">
        <f t="shared" si="31"/>
        <v>5098021.6908975309</v>
      </c>
      <c r="H279" s="20">
        <f t="shared" si="33"/>
        <v>6151978.3091024561</v>
      </c>
      <c r="I279" s="20">
        <f t="shared" si="34"/>
        <v>12975980.251853369</v>
      </c>
    </row>
    <row r="280" spans="1:9" x14ac:dyDescent="0.2">
      <c r="A280" s="24">
        <v>23</v>
      </c>
      <c r="B280" s="24">
        <v>6</v>
      </c>
      <c r="C280" s="20">
        <f t="shared" si="32"/>
        <v>5098021.6908975309</v>
      </c>
      <c r="D280" s="20">
        <f t="shared" si="28"/>
        <v>43493.368483930142</v>
      </c>
      <c r="E280" s="20">
        <f t="shared" si="29"/>
        <v>27614.284159028291</v>
      </c>
      <c r="F280" s="20">
        <f t="shared" si="30"/>
        <v>71107.652642958434</v>
      </c>
      <c r="G280" s="20">
        <f t="shared" si="31"/>
        <v>5054528.322413601</v>
      </c>
      <c r="H280" s="20">
        <f t="shared" si="33"/>
        <v>6195471.677586386</v>
      </c>
      <c r="I280" s="20">
        <f t="shared" si="34"/>
        <v>13003594.536012398</v>
      </c>
    </row>
    <row r="281" spans="1:9" x14ac:dyDescent="0.2">
      <c r="A281" s="24">
        <v>23</v>
      </c>
      <c r="B281" s="24">
        <v>7</v>
      </c>
      <c r="C281" s="20">
        <f t="shared" si="32"/>
        <v>5054528.322413601</v>
      </c>
      <c r="D281" s="20">
        <f t="shared" si="28"/>
        <v>43728.957563218093</v>
      </c>
      <c r="E281" s="20">
        <f t="shared" si="29"/>
        <v>27378.695079740341</v>
      </c>
      <c r="F281" s="20">
        <f t="shared" si="30"/>
        <v>71107.652642958434</v>
      </c>
      <c r="G281" s="20">
        <f t="shared" si="31"/>
        <v>5010799.3648503833</v>
      </c>
      <c r="H281" s="20">
        <f t="shared" si="33"/>
        <v>6239200.6351496037</v>
      </c>
      <c r="I281" s="20">
        <f t="shared" si="34"/>
        <v>13030973.231092138</v>
      </c>
    </row>
    <row r="282" spans="1:9" x14ac:dyDescent="0.2">
      <c r="A282" s="24">
        <v>23</v>
      </c>
      <c r="B282" s="24">
        <v>8</v>
      </c>
      <c r="C282" s="20">
        <f t="shared" si="32"/>
        <v>5010799.3648503833</v>
      </c>
      <c r="D282" s="20">
        <f t="shared" si="28"/>
        <v>43965.822750018851</v>
      </c>
      <c r="E282" s="20">
        <f t="shared" si="29"/>
        <v>27141.829892939579</v>
      </c>
      <c r="F282" s="20">
        <f t="shared" si="30"/>
        <v>71107.652642958434</v>
      </c>
      <c r="G282" s="20">
        <f t="shared" si="31"/>
        <v>4966833.5421003643</v>
      </c>
      <c r="H282" s="20">
        <f t="shared" si="33"/>
        <v>6283166.4578996226</v>
      </c>
      <c r="I282" s="20">
        <f t="shared" si="34"/>
        <v>13058115.060985077</v>
      </c>
    </row>
    <row r="283" spans="1:9" x14ac:dyDescent="0.2">
      <c r="A283" s="24">
        <v>23</v>
      </c>
      <c r="B283" s="24">
        <v>9</v>
      </c>
      <c r="C283" s="20">
        <f t="shared" si="32"/>
        <v>4966833.5421003643</v>
      </c>
      <c r="D283" s="20">
        <f t="shared" si="28"/>
        <v>44203.970956581456</v>
      </c>
      <c r="E283" s="20">
        <f t="shared" si="29"/>
        <v>26903.681686376975</v>
      </c>
      <c r="F283" s="20">
        <f t="shared" si="30"/>
        <v>71107.652642958434</v>
      </c>
      <c r="G283" s="20">
        <f t="shared" si="31"/>
        <v>4922629.5711437827</v>
      </c>
      <c r="H283" s="20">
        <f t="shared" si="33"/>
        <v>6327370.4288562043</v>
      </c>
      <c r="I283" s="20">
        <f t="shared" si="34"/>
        <v>13085018.742671454</v>
      </c>
    </row>
    <row r="284" spans="1:9" x14ac:dyDescent="0.2">
      <c r="A284" s="24">
        <v>23</v>
      </c>
      <c r="B284" s="24">
        <v>10</v>
      </c>
      <c r="C284" s="20">
        <f t="shared" si="32"/>
        <v>4922629.5711437827</v>
      </c>
      <c r="D284" s="20">
        <f t="shared" si="28"/>
        <v>44443.40913259628</v>
      </c>
      <c r="E284" s="20">
        <f t="shared" si="29"/>
        <v>26664.243510362157</v>
      </c>
      <c r="F284" s="20">
        <f t="shared" si="30"/>
        <v>71107.652642958434</v>
      </c>
      <c r="G284" s="20">
        <f t="shared" si="31"/>
        <v>4878186.1620111866</v>
      </c>
      <c r="H284" s="20">
        <f t="shared" si="33"/>
        <v>6371813.8379888004</v>
      </c>
      <c r="I284" s="20">
        <f t="shared" si="34"/>
        <v>13111682.986181816</v>
      </c>
    </row>
    <row r="285" spans="1:9" x14ac:dyDescent="0.2">
      <c r="A285" s="24">
        <v>23</v>
      </c>
      <c r="B285" s="24">
        <v>11</v>
      </c>
      <c r="C285" s="20">
        <f t="shared" si="32"/>
        <v>4878186.1620111866</v>
      </c>
      <c r="D285" s="20">
        <f t="shared" si="28"/>
        <v>44684.144265397845</v>
      </c>
      <c r="E285" s="20">
        <f t="shared" si="29"/>
        <v>26423.508377560593</v>
      </c>
      <c r="F285" s="20">
        <f t="shared" si="30"/>
        <v>71107.652642958434</v>
      </c>
      <c r="G285" s="20">
        <f t="shared" si="31"/>
        <v>4833502.0177457891</v>
      </c>
      <c r="H285" s="20">
        <f t="shared" si="33"/>
        <v>6416497.9822541978</v>
      </c>
      <c r="I285" s="20">
        <f t="shared" si="34"/>
        <v>13138106.494559377</v>
      </c>
    </row>
    <row r="286" spans="1:9" x14ac:dyDescent="0.2">
      <c r="A286" s="24">
        <v>23</v>
      </c>
      <c r="B286" s="24">
        <v>12</v>
      </c>
      <c r="C286" s="20">
        <f t="shared" si="32"/>
        <v>4833502.0177457891</v>
      </c>
      <c r="D286" s="20">
        <f t="shared" si="28"/>
        <v>44926.183380168746</v>
      </c>
      <c r="E286" s="20">
        <f t="shared" si="29"/>
        <v>26181.469262789691</v>
      </c>
      <c r="F286" s="20">
        <f t="shared" si="30"/>
        <v>71107.652642958434</v>
      </c>
      <c r="G286" s="20">
        <f t="shared" si="31"/>
        <v>4788575.8343656203</v>
      </c>
      <c r="H286" s="20">
        <f t="shared" si="33"/>
        <v>6461424.1656343667</v>
      </c>
      <c r="I286" s="20">
        <f t="shared" si="34"/>
        <v>13164287.963822167</v>
      </c>
    </row>
    <row r="287" spans="1:9" x14ac:dyDescent="0.2">
      <c r="A287" s="24">
        <v>24</v>
      </c>
      <c r="B287" s="24">
        <v>1</v>
      </c>
      <c r="C287" s="20">
        <f t="shared" si="32"/>
        <v>4788575.8343656203</v>
      </c>
      <c r="D287" s="20">
        <f t="shared" si="28"/>
        <v>45169.53354014465</v>
      </c>
      <c r="E287" s="20">
        <f t="shared" si="29"/>
        <v>25938.11910281378</v>
      </c>
      <c r="F287" s="20">
        <f t="shared" si="30"/>
        <v>71107.652642958434</v>
      </c>
      <c r="G287" s="20">
        <f t="shared" si="31"/>
        <v>4743406.3008254757</v>
      </c>
      <c r="H287" s="20">
        <f t="shared" si="33"/>
        <v>6506593.6991745112</v>
      </c>
      <c r="I287" s="20">
        <f t="shared" si="34"/>
        <v>13190226.082924981</v>
      </c>
    </row>
    <row r="288" spans="1:9" x14ac:dyDescent="0.2">
      <c r="A288" s="24">
        <v>24</v>
      </c>
      <c r="B288" s="24">
        <v>2</v>
      </c>
      <c r="C288" s="20">
        <f t="shared" si="32"/>
        <v>4743406.3008254757</v>
      </c>
      <c r="D288" s="20">
        <f t="shared" si="28"/>
        <v>45414.201846820433</v>
      </c>
      <c r="E288" s="20">
        <f t="shared" si="29"/>
        <v>25693.450796137997</v>
      </c>
      <c r="F288" s="20">
        <f t="shared" si="30"/>
        <v>71107.652642958434</v>
      </c>
      <c r="G288" s="20">
        <f t="shared" si="31"/>
        <v>4697992.0989786554</v>
      </c>
      <c r="H288" s="20">
        <f t="shared" si="33"/>
        <v>6552007.9010213315</v>
      </c>
      <c r="I288" s="20">
        <f t="shared" si="34"/>
        <v>13215919.533721119</v>
      </c>
    </row>
    <row r="289" spans="1:9" x14ac:dyDescent="0.2">
      <c r="A289" s="24">
        <v>24</v>
      </c>
      <c r="B289" s="24">
        <v>3</v>
      </c>
      <c r="C289" s="20">
        <f t="shared" si="32"/>
        <v>4697992.0989786554</v>
      </c>
      <c r="D289" s="20">
        <f t="shared" si="28"/>
        <v>45660.195440157389</v>
      </c>
      <c r="E289" s="20">
        <f t="shared" si="29"/>
        <v>25447.457202801048</v>
      </c>
      <c r="F289" s="20">
        <f t="shared" si="30"/>
        <v>71107.652642958434</v>
      </c>
      <c r="G289" s="20">
        <f t="shared" si="31"/>
        <v>4652331.9035384981</v>
      </c>
      <c r="H289" s="20">
        <f t="shared" si="33"/>
        <v>6597668.0964614889</v>
      </c>
      <c r="I289" s="20">
        <f t="shared" si="34"/>
        <v>13241366.990923921</v>
      </c>
    </row>
    <row r="290" spans="1:9" x14ac:dyDescent="0.2">
      <c r="A290" s="24">
        <v>24</v>
      </c>
      <c r="B290" s="24">
        <v>4</v>
      </c>
      <c r="C290" s="20">
        <f t="shared" si="32"/>
        <v>4652331.9035384981</v>
      </c>
      <c r="D290" s="20">
        <f t="shared" si="28"/>
        <v>45907.521498791568</v>
      </c>
      <c r="E290" s="20">
        <f t="shared" si="29"/>
        <v>25200.131144166866</v>
      </c>
      <c r="F290" s="20">
        <f t="shared" si="30"/>
        <v>71107.652642958434</v>
      </c>
      <c r="G290" s="20">
        <f t="shared" si="31"/>
        <v>4606424.3820397062</v>
      </c>
      <c r="H290" s="20">
        <f t="shared" si="33"/>
        <v>6643575.6179602807</v>
      </c>
      <c r="I290" s="20">
        <f t="shared" si="34"/>
        <v>13266567.122068087</v>
      </c>
    </row>
    <row r="291" spans="1:9" x14ac:dyDescent="0.2">
      <c r="A291" s="24">
        <v>24</v>
      </c>
      <c r="B291" s="24">
        <v>5</v>
      </c>
      <c r="C291" s="20">
        <f t="shared" si="32"/>
        <v>4606424.3820397062</v>
      </c>
      <c r="D291" s="20">
        <f t="shared" si="28"/>
        <v>46156.187240243351</v>
      </c>
      <c r="E291" s="20">
        <f t="shared" si="29"/>
        <v>24951.465402715079</v>
      </c>
      <c r="F291" s="20">
        <f t="shared" si="30"/>
        <v>71107.652642958434</v>
      </c>
      <c r="G291" s="20">
        <f t="shared" si="31"/>
        <v>4560268.1947994633</v>
      </c>
      <c r="H291" s="20">
        <f t="shared" si="33"/>
        <v>6689731.8052005237</v>
      </c>
      <c r="I291" s="20">
        <f t="shared" si="34"/>
        <v>13291518.587470802</v>
      </c>
    </row>
    <row r="292" spans="1:9" x14ac:dyDescent="0.2">
      <c r="A292" s="24">
        <v>24</v>
      </c>
      <c r="B292" s="24">
        <v>6</v>
      </c>
      <c r="C292" s="20">
        <f t="shared" si="32"/>
        <v>4560268.1947994633</v>
      </c>
      <c r="D292" s="20">
        <f t="shared" si="28"/>
        <v>46406.199921128005</v>
      </c>
      <c r="E292" s="20">
        <f t="shared" si="29"/>
        <v>24701.452721830428</v>
      </c>
      <c r="F292" s="20">
        <f t="shared" si="30"/>
        <v>71107.652642958434</v>
      </c>
      <c r="G292" s="20">
        <f t="shared" si="31"/>
        <v>4513861.9948783349</v>
      </c>
      <c r="H292" s="20">
        <f t="shared" si="33"/>
        <v>6736138.005121652</v>
      </c>
      <c r="I292" s="20">
        <f t="shared" si="34"/>
        <v>13316220.040192632</v>
      </c>
    </row>
    <row r="293" spans="1:9" x14ac:dyDescent="0.2">
      <c r="A293" s="24">
        <v>24</v>
      </c>
      <c r="B293" s="24">
        <v>7</v>
      </c>
      <c r="C293" s="20">
        <f t="shared" si="32"/>
        <v>4513861.9948783349</v>
      </c>
      <c r="D293" s="20">
        <f t="shared" si="28"/>
        <v>46657.566837367456</v>
      </c>
      <c r="E293" s="20">
        <f t="shared" si="29"/>
        <v>24450.085805590981</v>
      </c>
      <c r="F293" s="20">
        <f t="shared" si="30"/>
        <v>71107.652642958434</v>
      </c>
      <c r="G293" s="20">
        <f t="shared" si="31"/>
        <v>4467204.4280409673</v>
      </c>
      <c r="H293" s="20">
        <f t="shared" si="33"/>
        <v>6782795.5719590196</v>
      </c>
      <c r="I293" s="20">
        <f t="shared" si="34"/>
        <v>13340670.125998223</v>
      </c>
    </row>
    <row r="294" spans="1:9" x14ac:dyDescent="0.2">
      <c r="A294" s="24">
        <v>24</v>
      </c>
      <c r="B294" s="24">
        <v>8</v>
      </c>
      <c r="C294" s="20">
        <f t="shared" si="32"/>
        <v>4467204.4280409673</v>
      </c>
      <c r="D294" s="20">
        <f t="shared" si="28"/>
        <v>46910.295324403196</v>
      </c>
      <c r="E294" s="20">
        <f t="shared" si="29"/>
        <v>24197.357318555241</v>
      </c>
      <c r="F294" s="20">
        <f t="shared" si="30"/>
        <v>71107.652642958434</v>
      </c>
      <c r="G294" s="20">
        <f t="shared" si="31"/>
        <v>4420294.1327165645</v>
      </c>
      <c r="H294" s="20">
        <f t="shared" si="33"/>
        <v>6829705.8672834225</v>
      </c>
      <c r="I294" s="20">
        <f t="shared" si="34"/>
        <v>13364867.483316779</v>
      </c>
    </row>
    <row r="295" spans="1:9" x14ac:dyDescent="0.2">
      <c r="A295" s="24">
        <v>24</v>
      </c>
      <c r="B295" s="24">
        <v>9</v>
      </c>
      <c r="C295" s="20">
        <f t="shared" si="32"/>
        <v>4420294.1327165645</v>
      </c>
      <c r="D295" s="20">
        <f t="shared" si="28"/>
        <v>47164.392757410373</v>
      </c>
      <c r="E295" s="20">
        <f t="shared" si="29"/>
        <v>23943.259885548057</v>
      </c>
      <c r="F295" s="20">
        <f t="shared" si="30"/>
        <v>71107.652642958434</v>
      </c>
      <c r="G295" s="20">
        <f t="shared" si="31"/>
        <v>4373129.7399591543</v>
      </c>
      <c r="H295" s="20">
        <f t="shared" si="33"/>
        <v>6876870.2600408327</v>
      </c>
      <c r="I295" s="20">
        <f t="shared" si="34"/>
        <v>13388810.743202327</v>
      </c>
    </row>
    <row r="296" spans="1:9" x14ac:dyDescent="0.2">
      <c r="A296" s="24">
        <v>24</v>
      </c>
      <c r="B296" s="24">
        <v>10</v>
      </c>
      <c r="C296" s="20">
        <f t="shared" si="32"/>
        <v>4373129.7399591543</v>
      </c>
      <c r="D296" s="20">
        <f t="shared" si="28"/>
        <v>47419.866551513012</v>
      </c>
      <c r="E296" s="20">
        <f t="shared" si="29"/>
        <v>23687.786091445421</v>
      </c>
      <c r="F296" s="20">
        <f t="shared" si="30"/>
        <v>71107.652642958434</v>
      </c>
      <c r="G296" s="20">
        <f t="shared" si="31"/>
        <v>4325709.8734076414</v>
      </c>
      <c r="H296" s="20">
        <f t="shared" si="33"/>
        <v>6924290.1265923455</v>
      </c>
      <c r="I296" s="20">
        <f t="shared" si="34"/>
        <v>13412498.529293772</v>
      </c>
    </row>
    <row r="297" spans="1:9" x14ac:dyDescent="0.2">
      <c r="A297" s="24">
        <v>24</v>
      </c>
      <c r="B297" s="24">
        <v>11</v>
      </c>
      <c r="C297" s="20">
        <f t="shared" si="32"/>
        <v>4325709.8734076414</v>
      </c>
      <c r="D297" s="20">
        <f t="shared" si="28"/>
        <v>47676.724162000377</v>
      </c>
      <c r="E297" s="20">
        <f t="shared" si="29"/>
        <v>23430.928480958057</v>
      </c>
      <c r="F297" s="20">
        <f t="shared" si="30"/>
        <v>71107.652642958434</v>
      </c>
      <c r="G297" s="20">
        <f t="shared" si="31"/>
        <v>4278033.1492456412</v>
      </c>
      <c r="H297" s="20">
        <f t="shared" si="33"/>
        <v>6971966.8507543458</v>
      </c>
      <c r="I297" s="20">
        <f t="shared" si="34"/>
        <v>13435929.45777473</v>
      </c>
    </row>
    <row r="298" spans="1:9" x14ac:dyDescent="0.2">
      <c r="A298" s="24">
        <v>24</v>
      </c>
      <c r="B298" s="24">
        <v>12</v>
      </c>
      <c r="C298" s="20">
        <f t="shared" si="32"/>
        <v>4278033.1492456412</v>
      </c>
      <c r="D298" s="20">
        <f t="shared" si="28"/>
        <v>47934.973084544545</v>
      </c>
      <c r="E298" s="20">
        <f t="shared" si="29"/>
        <v>23172.679558413889</v>
      </c>
      <c r="F298" s="20">
        <f t="shared" si="30"/>
        <v>71107.652642958434</v>
      </c>
      <c r="G298" s="20">
        <f t="shared" si="31"/>
        <v>4230098.1761610964</v>
      </c>
      <c r="H298" s="20">
        <f t="shared" si="33"/>
        <v>7019901.8238388905</v>
      </c>
      <c r="I298" s="20">
        <f t="shared" si="34"/>
        <v>13459102.137333144</v>
      </c>
    </row>
    <row r="299" spans="1:9" x14ac:dyDescent="0.2">
      <c r="A299" s="24">
        <v>25</v>
      </c>
      <c r="B299" s="24">
        <v>1</v>
      </c>
      <c r="C299" s="20">
        <f t="shared" si="32"/>
        <v>4230098.1761610964</v>
      </c>
      <c r="D299" s="20">
        <f t="shared" si="28"/>
        <v>48194.620855419154</v>
      </c>
      <c r="E299" s="20">
        <f t="shared" si="29"/>
        <v>22913.031787539276</v>
      </c>
      <c r="F299" s="20">
        <f t="shared" si="30"/>
        <v>71107.652642958434</v>
      </c>
      <c r="G299" s="20">
        <f t="shared" si="31"/>
        <v>4181903.5553056775</v>
      </c>
      <c r="H299" s="20">
        <f t="shared" si="33"/>
        <v>7068096.4446943095</v>
      </c>
      <c r="I299" s="20">
        <f t="shared" si="34"/>
        <v>13482015.169120682</v>
      </c>
    </row>
    <row r="300" spans="1:9" x14ac:dyDescent="0.2">
      <c r="A300" s="24">
        <v>25</v>
      </c>
      <c r="B300" s="24">
        <v>2</v>
      </c>
      <c r="C300" s="20">
        <f t="shared" si="32"/>
        <v>4181903.5553056775</v>
      </c>
      <c r="D300" s="20">
        <f t="shared" si="28"/>
        <v>48455.675051719343</v>
      </c>
      <c r="E300" s="20">
        <f t="shared" si="29"/>
        <v>22651.977591239087</v>
      </c>
      <c r="F300" s="20">
        <f t="shared" si="30"/>
        <v>71107.652642958434</v>
      </c>
      <c r="G300" s="20">
        <f t="shared" si="31"/>
        <v>4133447.8802539581</v>
      </c>
      <c r="H300" s="20">
        <f t="shared" si="33"/>
        <v>7116552.1197460284</v>
      </c>
      <c r="I300" s="20">
        <f t="shared" si="34"/>
        <v>13504667.146711921</v>
      </c>
    </row>
    <row r="301" spans="1:9" x14ac:dyDescent="0.2">
      <c r="A301" s="24">
        <v>25</v>
      </c>
      <c r="B301" s="24">
        <v>3</v>
      </c>
      <c r="C301" s="20">
        <f t="shared" si="32"/>
        <v>4133447.8802539581</v>
      </c>
      <c r="D301" s="20">
        <f t="shared" si="28"/>
        <v>48718.143291582834</v>
      </c>
      <c r="E301" s="20">
        <f t="shared" si="29"/>
        <v>22389.509351375604</v>
      </c>
      <c r="F301" s="20">
        <f t="shared" si="30"/>
        <v>71107.652642958434</v>
      </c>
      <c r="G301" s="20">
        <f t="shared" si="31"/>
        <v>4084729.7369623752</v>
      </c>
      <c r="H301" s="20">
        <f t="shared" si="33"/>
        <v>7165270.2630376117</v>
      </c>
      <c r="I301" s="20">
        <f t="shared" si="34"/>
        <v>13527056.656063298</v>
      </c>
    </row>
    <row r="302" spans="1:9" x14ac:dyDescent="0.2">
      <c r="A302" s="24">
        <v>25</v>
      </c>
      <c r="B302" s="24">
        <v>4</v>
      </c>
      <c r="C302" s="20">
        <f t="shared" si="32"/>
        <v>4084729.7369623752</v>
      </c>
      <c r="D302" s="20">
        <f t="shared" si="28"/>
        <v>48982.033234412229</v>
      </c>
      <c r="E302" s="20">
        <f t="shared" si="29"/>
        <v>22125.619408546201</v>
      </c>
      <c r="F302" s="20">
        <f t="shared" si="30"/>
        <v>71107.652642958434</v>
      </c>
      <c r="G302" s="20">
        <f t="shared" si="31"/>
        <v>4035747.7037279629</v>
      </c>
      <c r="H302" s="20">
        <f t="shared" si="33"/>
        <v>7214252.2962720236</v>
      </c>
      <c r="I302" s="20">
        <f t="shared" si="34"/>
        <v>13549182.275471844</v>
      </c>
    </row>
    <row r="303" spans="1:9" x14ac:dyDescent="0.2">
      <c r="A303" s="24">
        <v>25</v>
      </c>
      <c r="B303" s="24">
        <v>5</v>
      </c>
      <c r="C303" s="20">
        <f t="shared" si="32"/>
        <v>4035747.7037279629</v>
      </c>
      <c r="D303" s="20">
        <f t="shared" si="28"/>
        <v>49247.352581098632</v>
      </c>
      <c r="E303" s="20">
        <f t="shared" si="29"/>
        <v>21860.300061859802</v>
      </c>
      <c r="F303" s="20">
        <f t="shared" si="30"/>
        <v>71107.652642958434</v>
      </c>
      <c r="G303" s="20">
        <f t="shared" si="31"/>
        <v>3986500.3511468642</v>
      </c>
      <c r="H303" s="20">
        <f t="shared" si="33"/>
        <v>7263499.6488531223</v>
      </c>
      <c r="I303" s="20">
        <f t="shared" si="34"/>
        <v>13571042.575533703</v>
      </c>
    </row>
    <row r="304" spans="1:9" x14ac:dyDescent="0.2">
      <c r="A304" s="24">
        <v>25</v>
      </c>
      <c r="B304" s="24">
        <v>6</v>
      </c>
      <c r="C304" s="20">
        <f t="shared" si="32"/>
        <v>3986500.3511468642</v>
      </c>
      <c r="D304" s="20">
        <f t="shared" si="28"/>
        <v>49514.109074246255</v>
      </c>
      <c r="E304" s="20">
        <f t="shared" si="29"/>
        <v>21593.543568712183</v>
      </c>
      <c r="F304" s="20">
        <f t="shared" si="30"/>
        <v>71107.652642958434</v>
      </c>
      <c r="G304" s="20">
        <f t="shared" si="31"/>
        <v>3936986.2420726181</v>
      </c>
      <c r="H304" s="20">
        <f t="shared" si="33"/>
        <v>7313013.7579273684</v>
      </c>
      <c r="I304" s="20">
        <f t="shared" si="34"/>
        <v>13592636.119102415</v>
      </c>
    </row>
    <row r="305" spans="1:9" x14ac:dyDescent="0.2">
      <c r="A305" s="24">
        <v>25</v>
      </c>
      <c r="B305" s="24">
        <v>7</v>
      </c>
      <c r="C305" s="20">
        <f t="shared" si="32"/>
        <v>3936986.2420726181</v>
      </c>
      <c r="D305" s="20">
        <f t="shared" si="28"/>
        <v>49782.310498398423</v>
      </c>
      <c r="E305" s="20">
        <f t="shared" si="29"/>
        <v>21325.342144560014</v>
      </c>
      <c r="F305" s="20">
        <f t="shared" si="30"/>
        <v>71107.652642958434</v>
      </c>
      <c r="G305" s="20">
        <f t="shared" si="31"/>
        <v>3887203.9315742198</v>
      </c>
      <c r="H305" s="20">
        <f t="shared" si="33"/>
        <v>7362796.0684257671</v>
      </c>
      <c r="I305" s="20">
        <f t="shared" si="34"/>
        <v>13613961.461246975</v>
      </c>
    </row>
    <row r="306" spans="1:9" x14ac:dyDescent="0.2">
      <c r="A306" s="24">
        <v>25</v>
      </c>
      <c r="B306" s="24">
        <v>8</v>
      </c>
      <c r="C306" s="20">
        <f t="shared" si="32"/>
        <v>3887203.9315742198</v>
      </c>
      <c r="D306" s="20">
        <f t="shared" si="28"/>
        <v>50051.964680264748</v>
      </c>
      <c r="E306" s="20">
        <f t="shared" si="29"/>
        <v>21055.68796269369</v>
      </c>
      <c r="F306" s="20">
        <f t="shared" si="30"/>
        <v>71107.652642958434</v>
      </c>
      <c r="G306" s="20">
        <f t="shared" si="31"/>
        <v>3837151.9668939551</v>
      </c>
      <c r="H306" s="20">
        <f t="shared" si="33"/>
        <v>7412848.0331060318</v>
      </c>
      <c r="I306" s="20">
        <f t="shared" si="34"/>
        <v>13635017.149209669</v>
      </c>
    </row>
    <row r="307" spans="1:9" x14ac:dyDescent="0.2">
      <c r="A307" s="24">
        <v>25</v>
      </c>
      <c r="B307" s="24">
        <v>9</v>
      </c>
      <c r="C307" s="20">
        <f t="shared" si="32"/>
        <v>3837151.9668939551</v>
      </c>
      <c r="D307" s="20">
        <f t="shared" si="28"/>
        <v>50323.079488949508</v>
      </c>
      <c r="E307" s="20">
        <f t="shared" si="29"/>
        <v>20784.573154008925</v>
      </c>
      <c r="F307" s="20">
        <f t="shared" si="30"/>
        <v>71107.652642958434</v>
      </c>
      <c r="G307" s="20">
        <f t="shared" si="31"/>
        <v>3786828.8874050057</v>
      </c>
      <c r="H307" s="20">
        <f t="shared" si="33"/>
        <v>7463171.1125949817</v>
      </c>
      <c r="I307" s="20">
        <f t="shared" si="34"/>
        <v>13655801.722363677</v>
      </c>
    </row>
    <row r="308" spans="1:9" x14ac:dyDescent="0.2">
      <c r="A308" s="24">
        <v>25</v>
      </c>
      <c r="B308" s="24">
        <v>10</v>
      </c>
      <c r="C308" s="20">
        <f t="shared" si="32"/>
        <v>3786828.8874050057</v>
      </c>
      <c r="D308" s="20">
        <f t="shared" si="28"/>
        <v>50595.66283618132</v>
      </c>
      <c r="E308" s="20">
        <f t="shared" si="29"/>
        <v>20511.989806777117</v>
      </c>
      <c r="F308" s="20">
        <f t="shared" si="30"/>
        <v>71107.652642958434</v>
      </c>
      <c r="G308" s="20">
        <f t="shared" si="31"/>
        <v>3736233.2245688243</v>
      </c>
      <c r="H308" s="20">
        <f t="shared" si="33"/>
        <v>7513766.7754311627</v>
      </c>
      <c r="I308" s="20">
        <f t="shared" si="34"/>
        <v>13676313.712170454</v>
      </c>
    </row>
    <row r="309" spans="1:9" x14ac:dyDescent="0.2">
      <c r="A309" s="24">
        <v>25</v>
      </c>
      <c r="B309" s="24">
        <v>11</v>
      </c>
      <c r="C309" s="20">
        <f t="shared" si="32"/>
        <v>3736233.2245688243</v>
      </c>
      <c r="D309" s="20">
        <f t="shared" si="28"/>
        <v>50869.72267654397</v>
      </c>
      <c r="E309" s="20">
        <f t="shared" si="29"/>
        <v>20237.929966414467</v>
      </c>
      <c r="F309" s="20">
        <f t="shared" si="30"/>
        <v>71107.652642958434</v>
      </c>
      <c r="G309" s="20">
        <f t="shared" si="31"/>
        <v>3685363.5018922803</v>
      </c>
      <c r="H309" s="20">
        <f t="shared" si="33"/>
        <v>7564636.4981077062</v>
      </c>
      <c r="I309" s="20">
        <f t="shared" si="34"/>
        <v>13696551.642136868</v>
      </c>
    </row>
    <row r="310" spans="1:9" x14ac:dyDescent="0.2">
      <c r="A310" s="24">
        <v>25</v>
      </c>
      <c r="B310" s="24">
        <v>12</v>
      </c>
      <c r="C310" s="20">
        <f t="shared" si="32"/>
        <v>3685363.5018922803</v>
      </c>
      <c r="D310" s="20">
        <f t="shared" si="28"/>
        <v>51145.267007708579</v>
      </c>
      <c r="E310" s="20">
        <f t="shared" si="29"/>
        <v>19962.385635249851</v>
      </c>
      <c r="F310" s="20">
        <f t="shared" si="30"/>
        <v>71107.652642958434</v>
      </c>
      <c r="G310" s="20">
        <f t="shared" si="31"/>
        <v>3634218.2348845717</v>
      </c>
      <c r="H310" s="20">
        <f t="shared" si="33"/>
        <v>7615781.7651154147</v>
      </c>
      <c r="I310" s="20">
        <f t="shared" si="34"/>
        <v>13716514.027772117</v>
      </c>
    </row>
    <row r="311" spans="1:9" x14ac:dyDescent="0.2">
      <c r="A311" s="24">
        <v>26</v>
      </c>
      <c r="B311" s="24">
        <v>1</v>
      </c>
      <c r="C311" s="20">
        <f t="shared" si="32"/>
        <v>3634218.2348845717</v>
      </c>
      <c r="D311" s="20">
        <f t="shared" si="28"/>
        <v>51422.303870667005</v>
      </c>
      <c r="E311" s="20">
        <f t="shared" si="29"/>
        <v>19685.348772291432</v>
      </c>
      <c r="F311" s="20">
        <f t="shared" si="30"/>
        <v>71107.652642958434</v>
      </c>
      <c r="G311" s="20">
        <f t="shared" si="31"/>
        <v>3582795.9310139045</v>
      </c>
      <c r="H311" s="20">
        <f t="shared" si="33"/>
        <v>7667204.0689860815</v>
      </c>
      <c r="I311" s="20">
        <f t="shared" si="34"/>
        <v>13736199.376544409</v>
      </c>
    </row>
    <row r="312" spans="1:9" x14ac:dyDescent="0.2">
      <c r="A312" s="24">
        <v>26</v>
      </c>
      <c r="B312" s="24">
        <v>2</v>
      </c>
      <c r="C312" s="20">
        <f t="shared" si="32"/>
        <v>3582795.9310139045</v>
      </c>
      <c r="D312" s="20">
        <f t="shared" si="28"/>
        <v>51700.841349966446</v>
      </c>
      <c r="E312" s="20">
        <f t="shared" si="29"/>
        <v>19406.811292991984</v>
      </c>
      <c r="F312" s="20">
        <f t="shared" si="30"/>
        <v>71107.652642958434</v>
      </c>
      <c r="G312" s="20">
        <f t="shared" si="31"/>
        <v>3531095.0896639382</v>
      </c>
      <c r="H312" s="20">
        <f t="shared" si="33"/>
        <v>7718904.9103360483</v>
      </c>
      <c r="I312" s="20">
        <f t="shared" si="34"/>
        <v>13755606.187837401</v>
      </c>
    </row>
    <row r="313" spans="1:9" x14ac:dyDescent="0.2">
      <c r="A313" s="24">
        <v>26</v>
      </c>
      <c r="B313" s="24">
        <v>3</v>
      </c>
      <c r="C313" s="20">
        <f t="shared" si="32"/>
        <v>3531095.0896639382</v>
      </c>
      <c r="D313" s="20">
        <f t="shared" si="28"/>
        <v>51980.887573945438</v>
      </c>
      <c r="E313" s="20">
        <f t="shared" si="29"/>
        <v>19126.765069012999</v>
      </c>
      <c r="F313" s="20">
        <f t="shared" si="30"/>
        <v>71107.652642958434</v>
      </c>
      <c r="G313" s="20">
        <f t="shared" si="31"/>
        <v>3479114.2020899928</v>
      </c>
      <c r="H313" s="20">
        <f t="shared" si="33"/>
        <v>7770885.7979099937</v>
      </c>
      <c r="I313" s="20">
        <f t="shared" si="34"/>
        <v>13774732.952906415</v>
      </c>
    </row>
    <row r="314" spans="1:9" x14ac:dyDescent="0.2">
      <c r="A314" s="24">
        <v>26</v>
      </c>
      <c r="B314" s="24">
        <v>4</v>
      </c>
      <c r="C314" s="20">
        <f t="shared" si="32"/>
        <v>3479114.2020899928</v>
      </c>
      <c r="D314" s="20">
        <f t="shared" si="28"/>
        <v>52262.450714970968</v>
      </c>
      <c r="E314" s="20">
        <f t="shared" si="29"/>
        <v>18845.201927987462</v>
      </c>
      <c r="F314" s="20">
        <f t="shared" si="30"/>
        <v>71107.652642958434</v>
      </c>
      <c r="G314" s="20">
        <f t="shared" si="31"/>
        <v>3426851.7513750219</v>
      </c>
      <c r="H314" s="20">
        <f t="shared" si="33"/>
        <v>7823148.2486249646</v>
      </c>
      <c r="I314" s="20">
        <f t="shared" si="34"/>
        <v>13793578.154834403</v>
      </c>
    </row>
    <row r="315" spans="1:9" x14ac:dyDescent="0.2">
      <c r="A315" s="24">
        <v>26</v>
      </c>
      <c r="B315" s="24">
        <v>5</v>
      </c>
      <c r="C315" s="20">
        <f t="shared" si="32"/>
        <v>3426851.7513750219</v>
      </c>
      <c r="D315" s="20">
        <f t="shared" si="28"/>
        <v>52545.538989677065</v>
      </c>
      <c r="E315" s="20">
        <f t="shared" si="29"/>
        <v>18562.113653281369</v>
      </c>
      <c r="F315" s="20">
        <f t="shared" si="30"/>
        <v>71107.652642958434</v>
      </c>
      <c r="G315" s="20">
        <f t="shared" si="31"/>
        <v>3374306.2123853448</v>
      </c>
      <c r="H315" s="20">
        <f t="shared" si="33"/>
        <v>7875693.7876146417</v>
      </c>
      <c r="I315" s="20">
        <f t="shared" si="34"/>
        <v>13812140.268487684</v>
      </c>
    </row>
    <row r="316" spans="1:9" x14ac:dyDescent="0.2">
      <c r="A316" s="24">
        <v>26</v>
      </c>
      <c r="B316" s="24">
        <v>6</v>
      </c>
      <c r="C316" s="20">
        <f t="shared" si="32"/>
        <v>3374306.2123853448</v>
      </c>
      <c r="D316" s="20">
        <f t="shared" si="28"/>
        <v>52830.160659204485</v>
      </c>
      <c r="E316" s="20">
        <f t="shared" si="29"/>
        <v>18277.491983753953</v>
      </c>
      <c r="F316" s="20">
        <f t="shared" si="30"/>
        <v>71107.652642958434</v>
      </c>
      <c r="G316" s="20">
        <f t="shared" si="31"/>
        <v>3321476.0517261401</v>
      </c>
      <c r="H316" s="20">
        <f t="shared" si="33"/>
        <v>7928523.9482738459</v>
      </c>
      <c r="I316" s="20">
        <f t="shared" si="34"/>
        <v>13830417.760471439</v>
      </c>
    </row>
    <row r="317" spans="1:9" x14ac:dyDescent="0.2">
      <c r="A317" s="24">
        <v>26</v>
      </c>
      <c r="B317" s="24">
        <v>7</v>
      </c>
      <c r="C317" s="20">
        <f t="shared" si="32"/>
        <v>3321476.0517261401</v>
      </c>
      <c r="D317" s="20">
        <f t="shared" si="28"/>
        <v>53116.324029441836</v>
      </c>
      <c r="E317" s="20">
        <f t="shared" si="29"/>
        <v>17991.328613516594</v>
      </c>
      <c r="F317" s="20">
        <f t="shared" si="30"/>
        <v>71107.652642958434</v>
      </c>
      <c r="G317" s="20">
        <f t="shared" si="31"/>
        <v>3268359.7276966982</v>
      </c>
      <c r="H317" s="20">
        <f t="shared" si="33"/>
        <v>7981640.2723032879</v>
      </c>
      <c r="I317" s="20">
        <f t="shared" si="34"/>
        <v>13848409.089084955</v>
      </c>
    </row>
    <row r="318" spans="1:9" x14ac:dyDescent="0.2">
      <c r="A318" s="24">
        <v>26</v>
      </c>
      <c r="B318" s="24">
        <v>8</v>
      </c>
      <c r="C318" s="20">
        <f t="shared" si="32"/>
        <v>3268359.7276966982</v>
      </c>
      <c r="D318" s="20">
        <f t="shared" si="28"/>
        <v>53404.037451267985</v>
      </c>
      <c r="E318" s="20">
        <f t="shared" si="29"/>
        <v>17703.615191690449</v>
      </c>
      <c r="F318" s="20">
        <f t="shared" si="30"/>
        <v>71107.652642958434</v>
      </c>
      <c r="G318" s="20">
        <f t="shared" si="31"/>
        <v>3214955.69024543</v>
      </c>
      <c r="H318" s="20">
        <f t="shared" si="33"/>
        <v>8035044.309754556</v>
      </c>
      <c r="I318" s="20">
        <f t="shared" si="34"/>
        <v>13866112.704276646</v>
      </c>
    </row>
    <row r="319" spans="1:9" x14ac:dyDescent="0.2">
      <c r="A319" s="24">
        <v>26</v>
      </c>
      <c r="B319" s="24">
        <v>9</v>
      </c>
      <c r="C319" s="20">
        <f t="shared" si="32"/>
        <v>3214955.69024543</v>
      </c>
      <c r="D319" s="20">
        <f t="shared" si="28"/>
        <v>53693.309320795684</v>
      </c>
      <c r="E319" s="20">
        <f t="shared" si="29"/>
        <v>17414.343322162746</v>
      </c>
      <c r="F319" s="20">
        <f t="shared" si="30"/>
        <v>71107.652642958434</v>
      </c>
      <c r="G319" s="20">
        <f t="shared" si="31"/>
        <v>3161262.3809246342</v>
      </c>
      <c r="H319" s="20">
        <f t="shared" si="33"/>
        <v>8088737.6190753514</v>
      </c>
      <c r="I319" s="20">
        <f t="shared" si="34"/>
        <v>13883527.047598809</v>
      </c>
    </row>
    <row r="320" spans="1:9" x14ac:dyDescent="0.2">
      <c r="A320" s="24">
        <v>26</v>
      </c>
      <c r="B320" s="24">
        <v>10</v>
      </c>
      <c r="C320" s="20">
        <f t="shared" si="32"/>
        <v>3161262.3809246342</v>
      </c>
      <c r="D320" s="20">
        <f t="shared" si="28"/>
        <v>53984.148079616665</v>
      </c>
      <c r="E320" s="20">
        <f t="shared" si="29"/>
        <v>17123.504563341769</v>
      </c>
      <c r="F320" s="20">
        <f t="shared" si="30"/>
        <v>71107.652642958434</v>
      </c>
      <c r="G320" s="20">
        <f t="shared" si="31"/>
        <v>3107278.2328450177</v>
      </c>
      <c r="H320" s="20">
        <f t="shared" si="33"/>
        <v>8142721.7671549683</v>
      </c>
      <c r="I320" s="20">
        <f t="shared" si="34"/>
        <v>13900650.55216215</v>
      </c>
    </row>
    <row r="321" spans="1:9" x14ac:dyDescent="0.2">
      <c r="A321" s="24">
        <v>26</v>
      </c>
      <c r="B321" s="24">
        <v>11</v>
      </c>
      <c r="C321" s="20">
        <f t="shared" si="32"/>
        <v>3107278.2328450177</v>
      </c>
      <c r="D321" s="20">
        <f t="shared" si="28"/>
        <v>54276.562215047918</v>
      </c>
      <c r="E321" s="20">
        <f t="shared" si="29"/>
        <v>16831.090427910513</v>
      </c>
      <c r="F321" s="20">
        <f t="shared" si="30"/>
        <v>71107.652642958434</v>
      </c>
      <c r="G321" s="20">
        <f t="shared" si="31"/>
        <v>3053001.6706299698</v>
      </c>
      <c r="H321" s="20">
        <f t="shared" si="33"/>
        <v>8196998.3293700162</v>
      </c>
      <c r="I321" s="20">
        <f t="shared" si="34"/>
        <v>13917481.642590061</v>
      </c>
    </row>
    <row r="322" spans="1:9" x14ac:dyDescent="0.2">
      <c r="A322" s="24">
        <v>26</v>
      </c>
      <c r="B322" s="24">
        <v>12</v>
      </c>
      <c r="C322" s="20">
        <f t="shared" si="32"/>
        <v>3053001.6706299698</v>
      </c>
      <c r="D322" s="20">
        <f t="shared" si="28"/>
        <v>54570.560260379425</v>
      </c>
      <c r="E322" s="20">
        <f t="shared" si="29"/>
        <v>16537.092382579005</v>
      </c>
      <c r="F322" s="20">
        <f t="shared" si="30"/>
        <v>71107.652642958434</v>
      </c>
      <c r="G322" s="20">
        <f t="shared" si="31"/>
        <v>2998431.1103695906</v>
      </c>
      <c r="H322" s="20">
        <f t="shared" si="33"/>
        <v>8251568.8896303959</v>
      </c>
      <c r="I322" s="20">
        <f t="shared" si="34"/>
        <v>13934018.734972639</v>
      </c>
    </row>
    <row r="323" spans="1:9" x14ac:dyDescent="0.2">
      <c r="A323" s="24">
        <v>27</v>
      </c>
      <c r="B323" s="24">
        <v>1</v>
      </c>
      <c r="C323" s="20">
        <f t="shared" si="32"/>
        <v>2998431.1103695906</v>
      </c>
      <c r="D323" s="20">
        <f t="shared" si="28"/>
        <v>54866.150795123154</v>
      </c>
      <c r="E323" s="20">
        <f t="shared" si="29"/>
        <v>16241.501847835281</v>
      </c>
      <c r="F323" s="20">
        <f t="shared" si="30"/>
        <v>71107.652642958434</v>
      </c>
      <c r="G323" s="20">
        <f t="shared" si="31"/>
        <v>2943564.9595744675</v>
      </c>
      <c r="H323" s="20">
        <f t="shared" si="33"/>
        <v>8306435.0404255195</v>
      </c>
      <c r="I323" s="20">
        <f t="shared" si="34"/>
        <v>13950260.236820474</v>
      </c>
    </row>
    <row r="324" spans="1:9" x14ac:dyDescent="0.2">
      <c r="A324" s="24">
        <v>27</v>
      </c>
      <c r="B324" s="24">
        <v>2</v>
      </c>
      <c r="C324" s="20">
        <f t="shared" si="32"/>
        <v>2943564.9595744675</v>
      </c>
      <c r="D324" s="20">
        <f t="shared" si="28"/>
        <v>55163.342445263399</v>
      </c>
      <c r="E324" s="20">
        <f t="shared" si="29"/>
        <v>15944.310197695033</v>
      </c>
      <c r="F324" s="20">
        <f t="shared" si="30"/>
        <v>71107.652642958434</v>
      </c>
      <c r="G324" s="20">
        <f t="shared" si="31"/>
        <v>2888401.6171292043</v>
      </c>
      <c r="H324" s="20">
        <f t="shared" si="33"/>
        <v>8361598.3828707831</v>
      </c>
      <c r="I324" s="20">
        <f t="shared" si="34"/>
        <v>13966204.547018168</v>
      </c>
    </row>
    <row r="325" spans="1:9" x14ac:dyDescent="0.2">
      <c r="A325" s="24">
        <v>27</v>
      </c>
      <c r="B325" s="24">
        <v>3</v>
      </c>
      <c r="C325" s="20">
        <f t="shared" si="32"/>
        <v>2888401.6171292043</v>
      </c>
      <c r="D325" s="20">
        <f t="shared" si="28"/>
        <v>55462.143883508579</v>
      </c>
      <c r="E325" s="20">
        <f t="shared" si="29"/>
        <v>15645.508759449856</v>
      </c>
      <c r="F325" s="20">
        <f t="shared" si="30"/>
        <v>71107.652642958434</v>
      </c>
      <c r="G325" s="20">
        <f t="shared" si="31"/>
        <v>2832939.4732456957</v>
      </c>
      <c r="H325" s="20">
        <f t="shared" si="33"/>
        <v>8417060.5267542917</v>
      </c>
      <c r="I325" s="20">
        <f t="shared" si="34"/>
        <v>13981850.055777619</v>
      </c>
    </row>
    <row r="326" spans="1:9" x14ac:dyDescent="0.2">
      <c r="A326" s="24">
        <v>27</v>
      </c>
      <c r="B326" s="24">
        <v>4</v>
      </c>
      <c r="C326" s="20">
        <f t="shared" si="32"/>
        <v>2832939.4732456957</v>
      </c>
      <c r="D326" s="20">
        <f t="shared" si="28"/>
        <v>55762.563829544248</v>
      </c>
      <c r="E326" s="20">
        <f t="shared" si="29"/>
        <v>15345.088813414186</v>
      </c>
      <c r="F326" s="20">
        <f t="shared" si="30"/>
        <v>71107.652642958434</v>
      </c>
      <c r="G326" s="20">
        <f t="shared" si="31"/>
        <v>2777176.9094161512</v>
      </c>
      <c r="H326" s="20">
        <f t="shared" si="33"/>
        <v>8472823.0905838367</v>
      </c>
      <c r="I326" s="20">
        <f t="shared" si="34"/>
        <v>13997195.144591033</v>
      </c>
    </row>
    <row r="327" spans="1:9" x14ac:dyDescent="0.2">
      <c r="A327" s="24">
        <v>27</v>
      </c>
      <c r="B327" s="24">
        <v>5</v>
      </c>
      <c r="C327" s="20">
        <f t="shared" si="32"/>
        <v>2777176.9094161512</v>
      </c>
      <c r="D327" s="20">
        <f t="shared" si="28"/>
        <v>56064.611050287611</v>
      </c>
      <c r="E327" s="20">
        <f t="shared" si="29"/>
        <v>15043.041592670821</v>
      </c>
      <c r="F327" s="20">
        <f t="shared" si="30"/>
        <v>71107.652642958434</v>
      </c>
      <c r="G327" s="20">
        <f t="shared" si="31"/>
        <v>2721112.2983658635</v>
      </c>
      <c r="H327" s="20">
        <f t="shared" si="33"/>
        <v>8528887.7016341239</v>
      </c>
      <c r="I327" s="20">
        <f t="shared" si="34"/>
        <v>14012238.186183704</v>
      </c>
    </row>
    <row r="328" spans="1:9" x14ac:dyDescent="0.2">
      <c r="A328" s="24">
        <v>27</v>
      </c>
      <c r="B328" s="24">
        <v>6</v>
      </c>
      <c r="C328" s="20">
        <f t="shared" si="32"/>
        <v>2721112.2983658635</v>
      </c>
      <c r="D328" s="20">
        <f t="shared" si="28"/>
        <v>56368.294360143336</v>
      </c>
      <c r="E328" s="20">
        <f t="shared" si="29"/>
        <v>14739.358282815096</v>
      </c>
      <c r="F328" s="20">
        <f t="shared" si="30"/>
        <v>71107.652642958434</v>
      </c>
      <c r="G328" s="20">
        <f t="shared" si="31"/>
        <v>2664744.0040057204</v>
      </c>
      <c r="H328" s="20">
        <f t="shared" si="33"/>
        <v>8585255.995994268</v>
      </c>
      <c r="I328" s="20">
        <f t="shared" si="34"/>
        <v>14026977.54446652</v>
      </c>
    </row>
    <row r="329" spans="1:9" x14ac:dyDescent="0.2">
      <c r="A329" s="24">
        <v>27</v>
      </c>
      <c r="B329" s="24">
        <v>7</v>
      </c>
      <c r="C329" s="20">
        <f t="shared" si="32"/>
        <v>2664744.0040057204</v>
      </c>
      <c r="D329" s="20">
        <f t="shared" si="28"/>
        <v>56673.62262126078</v>
      </c>
      <c r="E329" s="20">
        <f t="shared" si="29"/>
        <v>14434.030021697652</v>
      </c>
      <c r="F329" s="20">
        <f t="shared" si="30"/>
        <v>71107.652642958434</v>
      </c>
      <c r="G329" s="20">
        <f t="shared" si="31"/>
        <v>2608070.3813844598</v>
      </c>
      <c r="H329" s="20">
        <f t="shared" si="33"/>
        <v>8641929.6186155286</v>
      </c>
      <c r="I329" s="20">
        <f t="shared" si="34"/>
        <v>14041411.574488217</v>
      </c>
    </row>
    <row r="330" spans="1:9" x14ac:dyDescent="0.2">
      <c r="A330" s="24">
        <v>27</v>
      </c>
      <c r="B330" s="24">
        <v>8</v>
      </c>
      <c r="C330" s="20">
        <f t="shared" si="32"/>
        <v>2608070.3813844598</v>
      </c>
      <c r="D330" s="20">
        <f t="shared" si="28"/>
        <v>56980.60474379261</v>
      </c>
      <c r="E330" s="20">
        <f t="shared" si="29"/>
        <v>14127.047899165824</v>
      </c>
      <c r="F330" s="20">
        <f t="shared" si="30"/>
        <v>71107.652642958434</v>
      </c>
      <c r="G330" s="20">
        <f t="shared" si="31"/>
        <v>2551089.7766406671</v>
      </c>
      <c r="H330" s="20">
        <f t="shared" si="33"/>
        <v>8698910.2233593203</v>
      </c>
      <c r="I330" s="20">
        <f t="shared" si="34"/>
        <v>14055538.622387383</v>
      </c>
    </row>
    <row r="331" spans="1:9" x14ac:dyDescent="0.2">
      <c r="A331" s="24">
        <v>27</v>
      </c>
      <c r="B331" s="24">
        <v>9</v>
      </c>
      <c r="C331" s="20">
        <f t="shared" si="32"/>
        <v>2551089.7766406671</v>
      </c>
      <c r="D331" s="20">
        <f t="shared" ref="D331:D394" si="35">Monthly_Payment-E331</f>
        <v>57289.249686154821</v>
      </c>
      <c r="E331" s="20">
        <f t="shared" ref="E331:E370" si="36">C331*Interest_Rate/12</f>
        <v>13818.402956803613</v>
      </c>
      <c r="F331" s="20">
        <f t="shared" ref="F331:F370" si="37">Monthly_Payment</f>
        <v>71107.652642958434</v>
      </c>
      <c r="G331" s="20">
        <f t="shared" ref="G331:G370" si="38">C331-D331</f>
        <v>2493800.5269545121</v>
      </c>
      <c r="H331" s="20">
        <f t="shared" si="33"/>
        <v>8756199.4730454758</v>
      </c>
      <c r="I331" s="20">
        <f t="shared" si="34"/>
        <v>14069357.025344187</v>
      </c>
    </row>
    <row r="332" spans="1:9" x14ac:dyDescent="0.2">
      <c r="A332" s="24">
        <v>27</v>
      </c>
      <c r="B332" s="24">
        <v>10</v>
      </c>
      <c r="C332" s="20">
        <f t="shared" ref="C332:C370" si="39">G331</f>
        <v>2493800.5269545121</v>
      </c>
      <c r="D332" s="20">
        <f t="shared" si="35"/>
        <v>57599.566455288157</v>
      </c>
      <c r="E332" s="20">
        <f t="shared" si="36"/>
        <v>13508.086187670275</v>
      </c>
      <c r="F332" s="20">
        <f t="shared" si="37"/>
        <v>71107.652642958434</v>
      </c>
      <c r="G332" s="20">
        <f t="shared" si="38"/>
        <v>2436200.9604992238</v>
      </c>
      <c r="H332" s="20">
        <f t="shared" ref="H332:H370" si="40">H331+D332</f>
        <v>8813799.0395007636</v>
      </c>
      <c r="I332" s="20">
        <f t="shared" ref="I332:I370" si="41">I331+E332</f>
        <v>14082865.111531857</v>
      </c>
    </row>
    <row r="333" spans="1:9" x14ac:dyDescent="0.2">
      <c r="A333" s="24">
        <v>27</v>
      </c>
      <c r="B333" s="24">
        <v>11</v>
      </c>
      <c r="C333" s="20">
        <f t="shared" si="39"/>
        <v>2436200.9604992238</v>
      </c>
      <c r="D333" s="20">
        <f t="shared" si="35"/>
        <v>57911.564106920974</v>
      </c>
      <c r="E333" s="20">
        <f t="shared" si="36"/>
        <v>13196.088536037461</v>
      </c>
      <c r="F333" s="20">
        <f t="shared" si="37"/>
        <v>71107.652642958434</v>
      </c>
      <c r="G333" s="20">
        <f t="shared" si="38"/>
        <v>2378289.3963923026</v>
      </c>
      <c r="H333" s="20">
        <f t="shared" si="40"/>
        <v>8871710.6036076844</v>
      </c>
      <c r="I333" s="20">
        <f t="shared" si="41"/>
        <v>14096061.200067895</v>
      </c>
    </row>
    <row r="334" spans="1:9" x14ac:dyDescent="0.2">
      <c r="A334" s="24">
        <v>27</v>
      </c>
      <c r="B334" s="24">
        <v>12</v>
      </c>
      <c r="C334" s="20">
        <f t="shared" si="39"/>
        <v>2378289.3963923026</v>
      </c>
      <c r="D334" s="20">
        <f t="shared" si="35"/>
        <v>58225.251745833462</v>
      </c>
      <c r="E334" s="20">
        <f t="shared" si="36"/>
        <v>12882.400897124973</v>
      </c>
      <c r="F334" s="20">
        <f t="shared" si="37"/>
        <v>71107.652642958434</v>
      </c>
      <c r="G334" s="20">
        <f t="shared" si="38"/>
        <v>2320064.144646469</v>
      </c>
      <c r="H334" s="20">
        <f t="shared" si="40"/>
        <v>8929935.8553535175</v>
      </c>
      <c r="I334" s="20">
        <f t="shared" si="41"/>
        <v>14108943.600965019</v>
      </c>
    </row>
    <row r="335" spans="1:9" x14ac:dyDescent="0.2">
      <c r="A335" s="24">
        <v>28</v>
      </c>
      <c r="B335" s="24">
        <v>1</v>
      </c>
      <c r="C335" s="20">
        <f t="shared" si="39"/>
        <v>2320064.144646469</v>
      </c>
      <c r="D335" s="20">
        <f t="shared" si="35"/>
        <v>58540.638526123395</v>
      </c>
      <c r="E335" s="20">
        <f t="shared" si="36"/>
        <v>12567.01411683504</v>
      </c>
      <c r="F335" s="20">
        <f t="shared" si="37"/>
        <v>71107.652642958434</v>
      </c>
      <c r="G335" s="20">
        <f t="shared" si="38"/>
        <v>2261523.5061203456</v>
      </c>
      <c r="H335" s="20">
        <f t="shared" si="40"/>
        <v>8988476.4938796405</v>
      </c>
      <c r="I335" s="20">
        <f t="shared" si="41"/>
        <v>14121510.615081854</v>
      </c>
    </row>
    <row r="336" spans="1:9" x14ac:dyDescent="0.2">
      <c r="A336" s="24">
        <v>28</v>
      </c>
      <c r="B336" s="24">
        <v>2</v>
      </c>
      <c r="C336" s="20">
        <f t="shared" si="39"/>
        <v>2261523.5061203456</v>
      </c>
      <c r="D336" s="20">
        <f t="shared" si="35"/>
        <v>58857.733651473231</v>
      </c>
      <c r="E336" s="20">
        <f t="shared" si="36"/>
        <v>12249.918991485205</v>
      </c>
      <c r="F336" s="20">
        <f t="shared" si="37"/>
        <v>71107.652642958434</v>
      </c>
      <c r="G336" s="20">
        <f t="shared" si="38"/>
        <v>2202665.7724688724</v>
      </c>
      <c r="H336" s="20">
        <f t="shared" si="40"/>
        <v>9047334.2275311146</v>
      </c>
      <c r="I336" s="20">
        <f t="shared" si="41"/>
        <v>14133760.53407334</v>
      </c>
    </row>
    <row r="337" spans="1:9" x14ac:dyDescent="0.2">
      <c r="A337" s="24">
        <v>28</v>
      </c>
      <c r="B337" s="24">
        <v>3</v>
      </c>
      <c r="C337" s="20">
        <f t="shared" si="39"/>
        <v>2202665.7724688724</v>
      </c>
      <c r="D337" s="20">
        <f t="shared" si="35"/>
        <v>59176.546375418708</v>
      </c>
      <c r="E337" s="20">
        <f t="shared" si="36"/>
        <v>11931.106267539726</v>
      </c>
      <c r="F337" s="20">
        <f t="shared" si="37"/>
        <v>71107.652642958434</v>
      </c>
      <c r="G337" s="20">
        <f t="shared" si="38"/>
        <v>2143489.2260934538</v>
      </c>
      <c r="H337" s="20">
        <f t="shared" si="40"/>
        <v>9106510.7739065327</v>
      </c>
      <c r="I337" s="20">
        <f t="shared" si="41"/>
        <v>14145691.64034088</v>
      </c>
    </row>
    <row r="338" spans="1:9" x14ac:dyDescent="0.2">
      <c r="A338" s="24">
        <v>28</v>
      </c>
      <c r="B338" s="24">
        <v>4</v>
      </c>
      <c r="C338" s="20">
        <f t="shared" si="39"/>
        <v>2143489.2260934538</v>
      </c>
      <c r="D338" s="20">
        <f t="shared" si="35"/>
        <v>59497.086001618889</v>
      </c>
      <c r="E338" s="20">
        <f t="shared" si="36"/>
        <v>11610.566641339543</v>
      </c>
      <c r="F338" s="20">
        <f t="shared" si="37"/>
        <v>71107.652642958434</v>
      </c>
      <c r="G338" s="20">
        <f t="shared" si="38"/>
        <v>2083992.1400918348</v>
      </c>
      <c r="H338" s="20">
        <f t="shared" si="40"/>
        <v>9166007.8599081524</v>
      </c>
      <c r="I338" s="20">
        <f t="shared" si="41"/>
        <v>14157302.20698222</v>
      </c>
    </row>
    <row r="339" spans="1:9" x14ac:dyDescent="0.2">
      <c r="A339" s="24">
        <v>28</v>
      </c>
      <c r="B339" s="24">
        <v>5</v>
      </c>
      <c r="C339" s="20">
        <f t="shared" si="39"/>
        <v>2083992.1400918348</v>
      </c>
      <c r="D339" s="20">
        <f t="shared" si="35"/>
        <v>59819.361884127662</v>
      </c>
      <c r="E339" s="20">
        <f t="shared" si="36"/>
        <v>11288.290758830772</v>
      </c>
      <c r="F339" s="20">
        <f t="shared" si="37"/>
        <v>71107.652642958434</v>
      </c>
      <c r="G339" s="20">
        <f t="shared" si="38"/>
        <v>2024172.7782077072</v>
      </c>
      <c r="H339" s="20">
        <f t="shared" si="40"/>
        <v>9225827.2217922807</v>
      </c>
      <c r="I339" s="20">
        <f t="shared" si="41"/>
        <v>14168590.497741051</v>
      </c>
    </row>
    <row r="340" spans="1:9" x14ac:dyDescent="0.2">
      <c r="A340" s="24">
        <v>28</v>
      </c>
      <c r="B340" s="24">
        <v>6</v>
      </c>
      <c r="C340" s="20">
        <f t="shared" si="39"/>
        <v>2024172.7782077072</v>
      </c>
      <c r="D340" s="20">
        <f t="shared" si="35"/>
        <v>60143.383427666689</v>
      </c>
      <c r="E340" s="20">
        <f t="shared" si="36"/>
        <v>10964.269215291746</v>
      </c>
      <c r="F340" s="20">
        <f t="shared" si="37"/>
        <v>71107.652642958434</v>
      </c>
      <c r="G340" s="20">
        <f t="shared" si="38"/>
        <v>1964029.3947800405</v>
      </c>
      <c r="H340" s="20">
        <f t="shared" si="40"/>
        <v>9285970.6052199472</v>
      </c>
      <c r="I340" s="20">
        <f t="shared" si="41"/>
        <v>14179554.766956342</v>
      </c>
    </row>
    <row r="341" spans="1:9" x14ac:dyDescent="0.2">
      <c r="A341" s="24">
        <v>28</v>
      </c>
      <c r="B341" s="24">
        <v>7</v>
      </c>
      <c r="C341" s="20">
        <f t="shared" si="39"/>
        <v>1964029.3947800405</v>
      </c>
      <c r="D341" s="20">
        <f t="shared" si="35"/>
        <v>60469.16008789988</v>
      </c>
      <c r="E341" s="20">
        <f t="shared" si="36"/>
        <v>10638.492555058552</v>
      </c>
      <c r="F341" s="20">
        <f t="shared" si="37"/>
        <v>71107.652642958434</v>
      </c>
      <c r="G341" s="20">
        <f t="shared" si="38"/>
        <v>1903560.2346921407</v>
      </c>
      <c r="H341" s="20">
        <f t="shared" si="40"/>
        <v>9346439.7653078474</v>
      </c>
      <c r="I341" s="20">
        <f t="shared" si="41"/>
        <v>14190193.2595114</v>
      </c>
    </row>
    <row r="342" spans="1:9" x14ac:dyDescent="0.2">
      <c r="A342" s="24">
        <v>28</v>
      </c>
      <c r="B342" s="24">
        <v>8</v>
      </c>
      <c r="C342" s="20">
        <f t="shared" si="39"/>
        <v>1903560.2346921407</v>
      </c>
      <c r="D342" s="20">
        <f t="shared" si="35"/>
        <v>60796.701371709336</v>
      </c>
      <c r="E342" s="20">
        <f t="shared" si="36"/>
        <v>10310.951271249096</v>
      </c>
      <c r="F342" s="20">
        <f t="shared" si="37"/>
        <v>71107.652642958434</v>
      </c>
      <c r="G342" s="20">
        <f t="shared" si="38"/>
        <v>1842763.5333204314</v>
      </c>
      <c r="H342" s="20">
        <f t="shared" si="40"/>
        <v>9407236.4666795563</v>
      </c>
      <c r="I342" s="20">
        <f t="shared" si="41"/>
        <v>14200504.210782649</v>
      </c>
    </row>
    <row r="343" spans="1:9" x14ac:dyDescent="0.2">
      <c r="A343" s="24">
        <v>28</v>
      </c>
      <c r="B343" s="24">
        <v>9</v>
      </c>
      <c r="C343" s="20">
        <f t="shared" si="39"/>
        <v>1842763.5333204314</v>
      </c>
      <c r="D343" s="20">
        <f t="shared" si="35"/>
        <v>61126.016837472765</v>
      </c>
      <c r="E343" s="20">
        <f t="shared" si="36"/>
        <v>9981.6358054856701</v>
      </c>
      <c r="F343" s="20">
        <f t="shared" si="37"/>
        <v>71107.652642958434</v>
      </c>
      <c r="G343" s="20">
        <f t="shared" si="38"/>
        <v>1781637.5164829586</v>
      </c>
      <c r="H343" s="20">
        <f t="shared" si="40"/>
        <v>9468362.4835170284</v>
      </c>
      <c r="I343" s="20">
        <f t="shared" si="41"/>
        <v>14210485.846588135</v>
      </c>
    </row>
    <row r="344" spans="1:9" x14ac:dyDescent="0.2">
      <c r="A344" s="24">
        <v>28</v>
      </c>
      <c r="B344" s="24">
        <v>10</v>
      </c>
      <c r="C344" s="20">
        <f t="shared" si="39"/>
        <v>1781637.5164829586</v>
      </c>
      <c r="D344" s="20">
        <f t="shared" si="35"/>
        <v>61457.116095342411</v>
      </c>
      <c r="E344" s="20">
        <f t="shared" si="36"/>
        <v>9650.5365476160259</v>
      </c>
      <c r="F344" s="20">
        <f t="shared" si="37"/>
        <v>71107.652642958434</v>
      </c>
      <c r="G344" s="20">
        <f t="shared" si="38"/>
        <v>1720180.4003876161</v>
      </c>
      <c r="H344" s="20">
        <f t="shared" si="40"/>
        <v>9529819.5996123701</v>
      </c>
      <c r="I344" s="20">
        <f t="shared" si="41"/>
        <v>14220136.383135751</v>
      </c>
    </row>
    <row r="345" spans="1:9" x14ac:dyDescent="0.2">
      <c r="A345" s="24">
        <v>28</v>
      </c>
      <c r="B345" s="24">
        <v>11</v>
      </c>
      <c r="C345" s="20">
        <f t="shared" si="39"/>
        <v>1720180.4003876161</v>
      </c>
      <c r="D345" s="20">
        <f t="shared" si="35"/>
        <v>61790.008807525512</v>
      </c>
      <c r="E345" s="20">
        <f t="shared" si="36"/>
        <v>9317.6438354329202</v>
      </c>
      <c r="F345" s="20">
        <f t="shared" si="37"/>
        <v>71107.652642958434</v>
      </c>
      <c r="G345" s="20">
        <f t="shared" si="38"/>
        <v>1658390.3915800906</v>
      </c>
      <c r="H345" s="20">
        <f t="shared" si="40"/>
        <v>9591609.6084198952</v>
      </c>
      <c r="I345" s="20">
        <f t="shared" si="41"/>
        <v>14229454.026971184</v>
      </c>
    </row>
    <row r="346" spans="1:9" x14ac:dyDescent="0.2">
      <c r="A346" s="24">
        <v>28</v>
      </c>
      <c r="B346" s="24">
        <v>12</v>
      </c>
      <c r="C346" s="20">
        <f t="shared" si="39"/>
        <v>1658390.3915800906</v>
      </c>
      <c r="D346" s="20">
        <f t="shared" si="35"/>
        <v>62124.704688566278</v>
      </c>
      <c r="E346" s="20">
        <f t="shared" si="36"/>
        <v>8982.947954392157</v>
      </c>
      <c r="F346" s="20">
        <f t="shared" si="37"/>
        <v>71107.652642958434</v>
      </c>
      <c r="G346" s="20">
        <f t="shared" si="38"/>
        <v>1596265.6868915244</v>
      </c>
      <c r="H346" s="20">
        <f t="shared" si="40"/>
        <v>9653734.313108461</v>
      </c>
      <c r="I346" s="20">
        <f t="shared" si="41"/>
        <v>14238436.974925576</v>
      </c>
    </row>
    <row r="347" spans="1:9" x14ac:dyDescent="0.2">
      <c r="A347" s="24">
        <v>29</v>
      </c>
      <c r="B347" s="24">
        <v>1</v>
      </c>
      <c r="C347" s="20">
        <f t="shared" si="39"/>
        <v>1596265.6868915244</v>
      </c>
      <c r="D347" s="20">
        <f t="shared" si="35"/>
        <v>62461.213505629341</v>
      </c>
      <c r="E347" s="20">
        <f t="shared" si="36"/>
        <v>8646.439137329091</v>
      </c>
      <c r="F347" s="20">
        <f t="shared" si="37"/>
        <v>71107.652642958434</v>
      </c>
      <c r="G347" s="20">
        <f t="shared" si="38"/>
        <v>1533804.4733858949</v>
      </c>
      <c r="H347" s="20">
        <f t="shared" si="40"/>
        <v>9716195.5266140904</v>
      </c>
      <c r="I347" s="20">
        <f t="shared" si="41"/>
        <v>14247083.414062904</v>
      </c>
    </row>
    <row r="348" spans="1:9" x14ac:dyDescent="0.2">
      <c r="A348" s="24">
        <v>29</v>
      </c>
      <c r="B348" s="24">
        <v>2</v>
      </c>
      <c r="C348" s="20">
        <f t="shared" si="39"/>
        <v>1533804.4733858949</v>
      </c>
      <c r="D348" s="20">
        <f t="shared" si="35"/>
        <v>62799.545078784839</v>
      </c>
      <c r="E348" s="20">
        <f t="shared" si="36"/>
        <v>8308.107564173597</v>
      </c>
      <c r="F348" s="20">
        <f t="shared" si="37"/>
        <v>71107.652642958434</v>
      </c>
      <c r="G348" s="20">
        <f t="shared" si="38"/>
        <v>1471004.92830711</v>
      </c>
      <c r="H348" s="20">
        <f t="shared" si="40"/>
        <v>9778995.0716928747</v>
      </c>
      <c r="I348" s="20">
        <f t="shared" si="41"/>
        <v>14255391.521627078</v>
      </c>
    </row>
    <row r="349" spans="1:9" x14ac:dyDescent="0.2">
      <c r="A349" s="24">
        <v>29</v>
      </c>
      <c r="B349" s="24">
        <v>3</v>
      </c>
      <c r="C349" s="20">
        <f t="shared" si="39"/>
        <v>1471004.92830711</v>
      </c>
      <c r="D349" s="20">
        <f t="shared" si="35"/>
        <v>63139.709281294919</v>
      </c>
      <c r="E349" s="20">
        <f t="shared" si="36"/>
        <v>7967.9433616635133</v>
      </c>
      <c r="F349" s="20">
        <f t="shared" si="37"/>
        <v>71107.652642958434</v>
      </c>
      <c r="G349" s="20">
        <f t="shared" si="38"/>
        <v>1407865.2190258151</v>
      </c>
      <c r="H349" s="20">
        <f t="shared" si="40"/>
        <v>9842134.7809741702</v>
      </c>
      <c r="I349" s="20">
        <f t="shared" si="41"/>
        <v>14263359.464988742</v>
      </c>
    </row>
    <row r="350" spans="1:9" x14ac:dyDescent="0.2">
      <c r="A350" s="24">
        <v>29</v>
      </c>
      <c r="B350" s="24">
        <v>4</v>
      </c>
      <c r="C350" s="20">
        <f t="shared" si="39"/>
        <v>1407865.2190258151</v>
      </c>
      <c r="D350" s="20">
        <f t="shared" si="35"/>
        <v>63481.716039901934</v>
      </c>
      <c r="E350" s="20">
        <f t="shared" si="36"/>
        <v>7625.9366030564988</v>
      </c>
      <c r="F350" s="20">
        <f t="shared" si="37"/>
        <v>71107.652642958434</v>
      </c>
      <c r="G350" s="20">
        <f t="shared" si="38"/>
        <v>1344383.5029859133</v>
      </c>
      <c r="H350" s="20">
        <f t="shared" si="40"/>
        <v>9905616.4970140718</v>
      </c>
      <c r="I350" s="20">
        <f t="shared" si="41"/>
        <v>14270985.401591798</v>
      </c>
    </row>
    <row r="351" spans="1:9" x14ac:dyDescent="0.2">
      <c r="A351" s="24">
        <v>29</v>
      </c>
      <c r="B351" s="24">
        <v>5</v>
      </c>
      <c r="C351" s="20">
        <f t="shared" si="39"/>
        <v>1344383.5029859133</v>
      </c>
      <c r="D351" s="20">
        <f t="shared" si="35"/>
        <v>63825.575335118068</v>
      </c>
      <c r="E351" s="20">
        <f t="shared" si="36"/>
        <v>7282.0773078403645</v>
      </c>
      <c r="F351" s="20">
        <f t="shared" si="37"/>
        <v>71107.652642958434</v>
      </c>
      <c r="G351" s="20">
        <f t="shared" si="38"/>
        <v>1280557.9276507953</v>
      </c>
      <c r="H351" s="20">
        <f t="shared" si="40"/>
        <v>9969442.0723491907</v>
      </c>
      <c r="I351" s="20">
        <f t="shared" si="41"/>
        <v>14278267.478899639</v>
      </c>
    </row>
    <row r="352" spans="1:9" x14ac:dyDescent="0.2">
      <c r="A352" s="24">
        <v>29</v>
      </c>
      <c r="B352" s="24">
        <v>6</v>
      </c>
      <c r="C352" s="20">
        <f t="shared" si="39"/>
        <v>1280557.9276507953</v>
      </c>
      <c r="D352" s="20">
        <f t="shared" si="35"/>
        <v>64171.297201516623</v>
      </c>
      <c r="E352" s="20">
        <f t="shared" si="36"/>
        <v>6936.3554414418077</v>
      </c>
      <c r="F352" s="20">
        <f t="shared" si="37"/>
        <v>71107.652642958434</v>
      </c>
      <c r="G352" s="20">
        <f t="shared" si="38"/>
        <v>1216386.6304492787</v>
      </c>
      <c r="H352" s="20">
        <f t="shared" si="40"/>
        <v>10033613.369550707</v>
      </c>
      <c r="I352" s="20">
        <f t="shared" si="41"/>
        <v>14285203.834341081</v>
      </c>
    </row>
    <row r="353" spans="1:9" x14ac:dyDescent="0.2">
      <c r="A353" s="24">
        <v>29</v>
      </c>
      <c r="B353" s="24">
        <v>7</v>
      </c>
      <c r="C353" s="20">
        <f t="shared" si="39"/>
        <v>1216386.6304492787</v>
      </c>
      <c r="D353" s="20">
        <f t="shared" si="35"/>
        <v>64518.891728024842</v>
      </c>
      <c r="E353" s="20">
        <f t="shared" si="36"/>
        <v>6588.760914933594</v>
      </c>
      <c r="F353" s="20">
        <f t="shared" si="37"/>
        <v>71107.652642958434</v>
      </c>
      <c r="G353" s="20">
        <f t="shared" si="38"/>
        <v>1151867.7387212538</v>
      </c>
      <c r="H353" s="20">
        <f t="shared" si="40"/>
        <v>10098132.261278732</v>
      </c>
      <c r="I353" s="20">
        <f t="shared" si="41"/>
        <v>14291792.595256014</v>
      </c>
    </row>
    <row r="354" spans="1:9" x14ac:dyDescent="0.2">
      <c r="A354" s="24">
        <v>29</v>
      </c>
      <c r="B354" s="24">
        <v>8</v>
      </c>
      <c r="C354" s="20">
        <f t="shared" si="39"/>
        <v>1151867.7387212538</v>
      </c>
      <c r="D354" s="20">
        <f t="shared" si="35"/>
        <v>64868.369058218312</v>
      </c>
      <c r="E354" s="20">
        <f t="shared" si="36"/>
        <v>6239.2835847401248</v>
      </c>
      <c r="F354" s="20">
        <f t="shared" si="37"/>
        <v>71107.652642958434</v>
      </c>
      <c r="G354" s="20">
        <f t="shared" si="38"/>
        <v>1086999.3696630355</v>
      </c>
      <c r="H354" s="20">
        <f t="shared" si="40"/>
        <v>10163000.63033695</v>
      </c>
      <c r="I354" s="20">
        <f t="shared" si="41"/>
        <v>14298031.878840754</v>
      </c>
    </row>
    <row r="355" spans="1:9" x14ac:dyDescent="0.2">
      <c r="A355" s="24">
        <v>29</v>
      </c>
      <c r="B355" s="24">
        <v>9</v>
      </c>
      <c r="C355" s="20">
        <f t="shared" si="39"/>
        <v>1086999.3696630355</v>
      </c>
      <c r="D355" s="20">
        <f t="shared" si="35"/>
        <v>65219.739390616989</v>
      </c>
      <c r="E355" s="20">
        <f t="shared" si="36"/>
        <v>5887.9132523414419</v>
      </c>
      <c r="F355" s="20">
        <f t="shared" si="37"/>
        <v>71107.652642958434</v>
      </c>
      <c r="G355" s="20">
        <f t="shared" si="38"/>
        <v>1021779.6302724185</v>
      </c>
      <c r="H355" s="20">
        <f t="shared" si="40"/>
        <v>10228220.369727567</v>
      </c>
      <c r="I355" s="20">
        <f t="shared" si="41"/>
        <v>14303919.792093094</v>
      </c>
    </row>
    <row r="356" spans="1:9" x14ac:dyDescent="0.2">
      <c r="A356" s="24">
        <v>29</v>
      </c>
      <c r="B356" s="24">
        <v>10</v>
      </c>
      <c r="C356" s="20">
        <f t="shared" si="39"/>
        <v>1021779.6302724185</v>
      </c>
      <c r="D356" s="20">
        <f t="shared" si="35"/>
        <v>65573.012978982835</v>
      </c>
      <c r="E356" s="20">
        <f t="shared" si="36"/>
        <v>5534.6396639756013</v>
      </c>
      <c r="F356" s="20">
        <f t="shared" si="37"/>
        <v>71107.652642958434</v>
      </c>
      <c r="G356" s="20">
        <f t="shared" si="38"/>
        <v>956206.61729343561</v>
      </c>
      <c r="H356" s="20">
        <f t="shared" si="40"/>
        <v>10293793.382706549</v>
      </c>
      <c r="I356" s="20">
        <f t="shared" si="41"/>
        <v>14309454.43175707</v>
      </c>
    </row>
    <row r="357" spans="1:9" x14ac:dyDescent="0.2">
      <c r="A357" s="24">
        <v>29</v>
      </c>
      <c r="B357" s="24">
        <v>11</v>
      </c>
      <c r="C357" s="20">
        <f t="shared" si="39"/>
        <v>956206.61729343561</v>
      </c>
      <c r="D357" s="20">
        <f t="shared" si="35"/>
        <v>65928.200132618993</v>
      </c>
      <c r="E357" s="20">
        <f t="shared" si="36"/>
        <v>5179.4525103394435</v>
      </c>
      <c r="F357" s="20">
        <f t="shared" si="37"/>
        <v>71107.652642958434</v>
      </c>
      <c r="G357" s="20">
        <f t="shared" si="38"/>
        <v>890278.41716081661</v>
      </c>
      <c r="H357" s="20">
        <f t="shared" si="40"/>
        <v>10359721.582839169</v>
      </c>
      <c r="I357" s="20">
        <f t="shared" si="41"/>
        <v>14314633.88426741</v>
      </c>
    </row>
    <row r="358" spans="1:9" x14ac:dyDescent="0.2">
      <c r="A358" s="24">
        <v>29</v>
      </c>
      <c r="B358" s="24">
        <v>12</v>
      </c>
      <c r="C358" s="20">
        <f t="shared" si="39"/>
        <v>890278.41716081661</v>
      </c>
      <c r="D358" s="20">
        <f t="shared" si="35"/>
        <v>66285.311216670671</v>
      </c>
      <c r="E358" s="20">
        <f t="shared" si="36"/>
        <v>4822.3414262877568</v>
      </c>
      <c r="F358" s="20">
        <f t="shared" si="37"/>
        <v>71107.652642958434</v>
      </c>
      <c r="G358" s="20">
        <f t="shared" si="38"/>
        <v>823993.10594414594</v>
      </c>
      <c r="H358" s="20">
        <f t="shared" si="40"/>
        <v>10426006.89405584</v>
      </c>
      <c r="I358" s="20">
        <f t="shared" si="41"/>
        <v>14319456.225693697</v>
      </c>
    </row>
    <row r="359" spans="1:9" x14ac:dyDescent="0.2">
      <c r="A359" s="24">
        <v>30</v>
      </c>
      <c r="B359" s="24">
        <v>1</v>
      </c>
      <c r="C359" s="20">
        <f t="shared" si="39"/>
        <v>823993.10594414594</v>
      </c>
      <c r="D359" s="20">
        <f t="shared" si="35"/>
        <v>66644.356652427639</v>
      </c>
      <c r="E359" s="20">
        <f t="shared" si="36"/>
        <v>4463.2959905307907</v>
      </c>
      <c r="F359" s="20">
        <f t="shared" si="37"/>
        <v>71107.652642958434</v>
      </c>
      <c r="G359" s="20">
        <f t="shared" si="38"/>
        <v>757348.74929171824</v>
      </c>
      <c r="H359" s="20">
        <f t="shared" si="40"/>
        <v>10492651.250708267</v>
      </c>
      <c r="I359" s="20">
        <f t="shared" si="41"/>
        <v>14323919.521684228</v>
      </c>
    </row>
    <row r="360" spans="1:9" x14ac:dyDescent="0.2">
      <c r="A360" s="24">
        <v>30</v>
      </c>
      <c r="B360" s="24">
        <v>2</v>
      </c>
      <c r="C360" s="20">
        <f t="shared" si="39"/>
        <v>757348.74929171824</v>
      </c>
      <c r="D360" s="20">
        <f t="shared" si="35"/>
        <v>67005.346917628296</v>
      </c>
      <c r="E360" s="20">
        <f t="shared" si="36"/>
        <v>4102.3057253301404</v>
      </c>
      <c r="F360" s="20">
        <f t="shared" si="37"/>
        <v>71107.652642958434</v>
      </c>
      <c r="G360" s="20">
        <f t="shared" si="38"/>
        <v>690343.40237408993</v>
      </c>
      <c r="H360" s="20">
        <f t="shared" si="40"/>
        <v>10559656.597625894</v>
      </c>
      <c r="I360" s="20">
        <f t="shared" si="41"/>
        <v>14328021.827409558</v>
      </c>
    </row>
    <row r="361" spans="1:9" x14ac:dyDescent="0.2">
      <c r="A361" s="24">
        <v>30</v>
      </c>
      <c r="B361" s="24">
        <v>3</v>
      </c>
      <c r="C361" s="20">
        <f t="shared" si="39"/>
        <v>690343.40237408993</v>
      </c>
      <c r="D361" s="20">
        <f t="shared" si="35"/>
        <v>67368.292546765442</v>
      </c>
      <c r="E361" s="20">
        <f t="shared" si="36"/>
        <v>3739.3600961929874</v>
      </c>
      <c r="F361" s="20">
        <f t="shared" si="37"/>
        <v>71107.652642958434</v>
      </c>
      <c r="G361" s="20">
        <f t="shared" si="38"/>
        <v>622975.10982732452</v>
      </c>
      <c r="H361" s="20">
        <f t="shared" si="40"/>
        <v>10627024.89017266</v>
      </c>
      <c r="I361" s="20">
        <f t="shared" si="41"/>
        <v>14331761.187505752</v>
      </c>
    </row>
    <row r="362" spans="1:9" x14ac:dyDescent="0.2">
      <c r="A362" s="24">
        <v>30</v>
      </c>
      <c r="B362" s="24">
        <v>4</v>
      </c>
      <c r="C362" s="20">
        <f t="shared" si="39"/>
        <v>622975.10982732452</v>
      </c>
      <c r="D362" s="20">
        <f t="shared" si="35"/>
        <v>67733.204131393752</v>
      </c>
      <c r="E362" s="20">
        <f t="shared" si="36"/>
        <v>3374.4485115646748</v>
      </c>
      <c r="F362" s="20">
        <f t="shared" si="37"/>
        <v>71107.652642958434</v>
      </c>
      <c r="G362" s="20">
        <f t="shared" si="38"/>
        <v>555241.90569593082</v>
      </c>
      <c r="H362" s="20">
        <f t="shared" si="40"/>
        <v>10694758.094304055</v>
      </c>
      <c r="I362" s="20">
        <f t="shared" si="41"/>
        <v>14335135.636017317</v>
      </c>
    </row>
    <row r="363" spans="1:9" x14ac:dyDescent="0.2">
      <c r="A363" s="24">
        <v>30</v>
      </c>
      <c r="B363" s="24">
        <v>5</v>
      </c>
      <c r="C363" s="20">
        <f t="shared" si="39"/>
        <v>555241.90569593082</v>
      </c>
      <c r="D363" s="20">
        <f t="shared" si="35"/>
        <v>68100.092320438809</v>
      </c>
      <c r="E363" s="20">
        <f t="shared" si="36"/>
        <v>3007.5603225196251</v>
      </c>
      <c r="F363" s="20">
        <f t="shared" si="37"/>
        <v>71107.652642958434</v>
      </c>
      <c r="G363" s="20">
        <f t="shared" si="38"/>
        <v>487141.813375492</v>
      </c>
      <c r="H363" s="20">
        <f t="shared" si="40"/>
        <v>10762858.186624493</v>
      </c>
      <c r="I363" s="20">
        <f t="shared" si="41"/>
        <v>14338143.196339836</v>
      </c>
    </row>
    <row r="364" spans="1:9" x14ac:dyDescent="0.2">
      <c r="A364" s="24">
        <v>30</v>
      </c>
      <c r="B364" s="24">
        <v>6</v>
      </c>
      <c r="C364" s="20">
        <f t="shared" si="39"/>
        <v>487141.813375492</v>
      </c>
      <c r="D364" s="20">
        <f t="shared" si="35"/>
        <v>68468.967820507853</v>
      </c>
      <c r="E364" s="20">
        <f t="shared" si="36"/>
        <v>2638.6848224505816</v>
      </c>
      <c r="F364" s="20">
        <f t="shared" si="37"/>
        <v>71107.652642958434</v>
      </c>
      <c r="G364" s="20">
        <f t="shared" si="38"/>
        <v>418672.84555498417</v>
      </c>
      <c r="H364" s="20">
        <f t="shared" si="40"/>
        <v>10831327.154445002</v>
      </c>
      <c r="I364" s="20">
        <f t="shared" si="41"/>
        <v>14340781.881162288</v>
      </c>
    </row>
    <row r="365" spans="1:9" x14ac:dyDescent="0.2">
      <c r="A365" s="24">
        <v>30</v>
      </c>
      <c r="B365" s="24">
        <v>7</v>
      </c>
      <c r="C365" s="20">
        <f t="shared" si="39"/>
        <v>418672.84555498417</v>
      </c>
      <c r="D365" s="20">
        <f t="shared" si="35"/>
        <v>68839.841396202275</v>
      </c>
      <c r="E365" s="20">
        <f t="shared" si="36"/>
        <v>2267.8112467561646</v>
      </c>
      <c r="F365" s="20">
        <f t="shared" si="37"/>
        <v>71107.652642958434</v>
      </c>
      <c r="G365" s="20">
        <f t="shared" si="38"/>
        <v>349833.0041587819</v>
      </c>
      <c r="H365" s="20">
        <f t="shared" si="40"/>
        <v>10900166.995841203</v>
      </c>
      <c r="I365" s="20">
        <f t="shared" si="41"/>
        <v>14343049.692409044</v>
      </c>
    </row>
    <row r="366" spans="1:9" x14ac:dyDescent="0.2">
      <c r="A366" s="24">
        <v>30</v>
      </c>
      <c r="B366" s="24">
        <v>8</v>
      </c>
      <c r="C366" s="20">
        <f t="shared" si="39"/>
        <v>349833.0041587819</v>
      </c>
      <c r="D366" s="20">
        <f t="shared" si="35"/>
        <v>69212.723870431699</v>
      </c>
      <c r="E366" s="20">
        <f t="shared" si="36"/>
        <v>1894.9287725267352</v>
      </c>
      <c r="F366" s="20">
        <f t="shared" si="37"/>
        <v>71107.652642958434</v>
      </c>
      <c r="G366" s="20">
        <f t="shared" si="38"/>
        <v>280620.28028835019</v>
      </c>
      <c r="H366" s="20">
        <f t="shared" si="40"/>
        <v>10969379.719711635</v>
      </c>
      <c r="I366" s="20">
        <f t="shared" si="41"/>
        <v>14344944.62118157</v>
      </c>
    </row>
    <row r="367" spans="1:9" x14ac:dyDescent="0.2">
      <c r="A367" s="24">
        <v>30</v>
      </c>
      <c r="B367" s="24">
        <v>9</v>
      </c>
      <c r="C367" s="20">
        <f t="shared" si="39"/>
        <v>280620.28028835019</v>
      </c>
      <c r="D367" s="20">
        <f t="shared" si="35"/>
        <v>69587.626124729868</v>
      </c>
      <c r="E367" s="20">
        <f t="shared" si="36"/>
        <v>1520.0265182285636</v>
      </c>
      <c r="F367" s="20">
        <f t="shared" si="37"/>
        <v>71107.652642958434</v>
      </c>
      <c r="G367" s="20">
        <f t="shared" si="38"/>
        <v>211032.65416362032</v>
      </c>
      <c r="H367" s="20">
        <f t="shared" si="40"/>
        <v>11038967.345836366</v>
      </c>
      <c r="I367" s="20">
        <f t="shared" si="41"/>
        <v>14346464.647699799</v>
      </c>
    </row>
    <row r="368" spans="1:9" x14ac:dyDescent="0.2">
      <c r="A368" s="24">
        <v>30</v>
      </c>
      <c r="B368" s="24">
        <v>10</v>
      </c>
      <c r="C368" s="20">
        <f t="shared" si="39"/>
        <v>211032.65416362032</v>
      </c>
      <c r="D368" s="20">
        <f t="shared" si="35"/>
        <v>69964.559099572158</v>
      </c>
      <c r="E368" s="20">
        <f t="shared" si="36"/>
        <v>1143.0935433862767</v>
      </c>
      <c r="F368" s="20">
        <f t="shared" si="37"/>
        <v>71107.652642958434</v>
      </c>
      <c r="G368" s="20">
        <f t="shared" si="38"/>
        <v>141068.09506404816</v>
      </c>
      <c r="H368" s="20">
        <f t="shared" si="40"/>
        <v>11108931.904935937</v>
      </c>
      <c r="I368" s="20">
        <f t="shared" si="41"/>
        <v>14347607.741243185</v>
      </c>
    </row>
    <row r="369" spans="1:9" x14ac:dyDescent="0.2">
      <c r="A369" s="24">
        <v>30</v>
      </c>
      <c r="B369" s="24">
        <v>11</v>
      </c>
      <c r="C369" s="20">
        <f t="shared" si="39"/>
        <v>141068.09506404816</v>
      </c>
      <c r="D369" s="20">
        <f t="shared" si="35"/>
        <v>70343.533794694842</v>
      </c>
      <c r="E369" s="20">
        <f t="shared" si="36"/>
        <v>764.11884826359426</v>
      </c>
      <c r="F369" s="20">
        <f t="shared" si="37"/>
        <v>71107.652642958434</v>
      </c>
      <c r="G369" s="20">
        <f t="shared" si="38"/>
        <v>70724.561269353318</v>
      </c>
      <c r="H369" s="20">
        <f t="shared" si="40"/>
        <v>11179275.438730633</v>
      </c>
      <c r="I369" s="20">
        <f t="shared" si="41"/>
        <v>14348371.86009145</v>
      </c>
    </row>
    <row r="370" spans="1:9" x14ac:dyDescent="0.2">
      <c r="A370" s="24">
        <v>30</v>
      </c>
      <c r="B370" s="24">
        <v>12</v>
      </c>
      <c r="C370" s="20">
        <f t="shared" si="39"/>
        <v>70724.561269353318</v>
      </c>
      <c r="D370" s="20">
        <f t="shared" si="35"/>
        <v>70724.56126941611</v>
      </c>
      <c r="E370" s="20">
        <f t="shared" si="36"/>
        <v>383.09137354233047</v>
      </c>
      <c r="F370" s="20">
        <f t="shared" si="37"/>
        <v>71107.652642958434</v>
      </c>
      <c r="G370" s="20">
        <f t="shared" si="38"/>
        <v>-6.2791514210402966E-8</v>
      </c>
      <c r="H370" s="20">
        <f t="shared" si="40"/>
        <v>11250000.000000048</v>
      </c>
      <c r="I370" s="20">
        <f t="shared" si="41"/>
        <v>14348754.951464992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3"/>
  <sheetViews>
    <sheetView tabSelected="1" workbookViewId="0">
      <selection sqref="A1:L1"/>
    </sheetView>
  </sheetViews>
  <sheetFormatPr baseColWidth="10" defaultColWidth="8.83203125" defaultRowHeight="15" x14ac:dyDescent="0.2"/>
  <cols>
    <col min="1" max="1" width="35" customWidth="1"/>
    <col min="2" max="12" width="13" customWidth="1"/>
  </cols>
  <sheetData>
    <row r="1" spans="1:12" ht="24" x14ac:dyDescent="0.3">
      <c r="A1" s="31" t="s">
        <v>133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3" spans="1:12" x14ac:dyDescent="0.2">
      <c r="A3" t="s">
        <v>124</v>
      </c>
      <c r="B3" s="8">
        <v>0</v>
      </c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8">
        <v>7</v>
      </c>
      <c r="J3" s="8">
        <v>8</v>
      </c>
      <c r="K3" s="8">
        <v>9</v>
      </c>
      <c r="L3" s="8">
        <v>10</v>
      </c>
    </row>
    <row r="4" spans="1:12" ht="19" x14ac:dyDescent="0.25">
      <c r="A4" s="2" t="s">
        <v>134</v>
      </c>
    </row>
    <row r="5" spans="1:12" x14ac:dyDescent="0.2">
      <c r="A5" t="s">
        <v>135</v>
      </c>
      <c r="B5" s="20">
        <f>T12_GPR</f>
        <v>5740752</v>
      </c>
      <c r="C5" s="20">
        <f>T12_GPR*POWER(1+InPlace_Rent_Growth,1)*(1-0.4)+Total_Units*Avg_Market_Rent*12*POWER(1+Market_Rent_Growth,1)*0.4</f>
        <v>6276084.3360000011</v>
      </c>
      <c r="D5" s="20">
        <f>T12_GPR*POWER(1+InPlace_Rent_Growth,2)*(1-0.8)+Total_Units*Avg_Market_Rent*12*POWER(1+Market_Rent_Growth,2)*0.8</f>
        <v>6862050.5373599995</v>
      </c>
      <c r="E5" s="20">
        <f>Total_Units*Avg_Market_Rent*12*POWER(1+Market_Rent_Growth,3)</f>
        <v>7281810.3425759999</v>
      </c>
      <c r="F5" s="20">
        <f>Total_Units*Avg_Market_Rent*12*POWER(1+Market_Rent_Growth,4)</f>
        <v>7500264.6528532794</v>
      </c>
      <c r="G5" s="20">
        <f>Total_Units*Avg_Market_Rent*12*POWER(1+Market_Rent_Growth,5)</f>
        <v>7725272.5924388776</v>
      </c>
      <c r="H5" s="20">
        <f>Total_Units*Avg_Market_Rent*12*POWER(1+Market_Rent_Growth,6)</f>
        <v>7957030.770212044</v>
      </c>
      <c r="I5" s="20">
        <f>Total_Units*Avg_Market_Rent*12*POWER(1+Market_Rent_Growth,7)</f>
        <v>8195741.6933184061</v>
      </c>
      <c r="J5" s="20">
        <f>Total_Units*Avg_Market_Rent*12*POWER(1+Market_Rent_Growth,8)</f>
        <v>8441613.9441179577</v>
      </c>
      <c r="K5" s="20">
        <f>Total_Units*Avg_Market_Rent*12*POWER(1+Market_Rent_Growth,9)</f>
        <v>8694862.3624414969</v>
      </c>
      <c r="L5" s="20">
        <f>Total_Units*Avg_Market_Rent*12*POWER(1+Market_Rent_Growth,10)</f>
        <v>8955708.2333147414</v>
      </c>
    </row>
    <row r="6" spans="1:12" x14ac:dyDescent="0.2">
      <c r="A6" t="s">
        <v>136</v>
      </c>
      <c r="B6" s="20">
        <f>T12_Other_Income</f>
        <v>228000</v>
      </c>
      <c r="C6" s="20">
        <f>T12_Other_Income*POWER(1+Other_Income_Growth,1)</f>
        <v>234840</v>
      </c>
      <c r="D6" s="20">
        <f>T12_Other_Income*POWER(1+Other_Income_Growth,2)</f>
        <v>241885.19999999998</v>
      </c>
      <c r="E6" s="20">
        <f>T12_Other_Income*POWER(1+Other_Income_Growth,3)</f>
        <v>249141.75599999999</v>
      </c>
      <c r="F6" s="20">
        <f>T12_Other_Income*POWER(1+Other_Income_Growth,4)</f>
        <v>256616.00867999997</v>
      </c>
      <c r="G6" s="20">
        <f>T12_Other_Income*POWER(1+Other_Income_Growth,5)</f>
        <v>264314.48894039996</v>
      </c>
      <c r="H6" s="20">
        <f>T12_Other_Income*POWER(1+Other_Income_Growth,6)</f>
        <v>272243.92360861198</v>
      </c>
      <c r="I6" s="20">
        <f>T12_Other_Income*POWER(1+Other_Income_Growth,7)</f>
        <v>280411.24131687038</v>
      </c>
      <c r="J6" s="20">
        <f>T12_Other_Income*POWER(1+Other_Income_Growth,8)</f>
        <v>288823.57855637645</v>
      </c>
      <c r="K6" s="20">
        <f>T12_Other_Income*POWER(1+Other_Income_Growth,9)</f>
        <v>297488.28591306775</v>
      </c>
      <c r="L6" s="20">
        <f>T12_Other_Income*POWER(1+Other_Income_Growth,10)</f>
        <v>306412.93449045974</v>
      </c>
    </row>
    <row r="7" spans="1:12" x14ac:dyDescent="0.2">
      <c r="A7" s="15" t="s">
        <v>137</v>
      </c>
      <c r="B7" s="22">
        <f t="shared" ref="B7:L7" si="0">B5+B6</f>
        <v>5968752</v>
      </c>
      <c r="C7" s="22">
        <f t="shared" si="0"/>
        <v>6510924.3360000011</v>
      </c>
      <c r="D7" s="22">
        <f t="shared" si="0"/>
        <v>7103935.7373599997</v>
      </c>
      <c r="E7" s="22">
        <f t="shared" si="0"/>
        <v>7530952.098576</v>
      </c>
      <c r="F7" s="22">
        <f t="shared" si="0"/>
        <v>7756880.6615332793</v>
      </c>
      <c r="G7" s="22">
        <f t="shared" si="0"/>
        <v>7989587.0813792776</v>
      </c>
      <c r="H7" s="22">
        <f t="shared" si="0"/>
        <v>8229274.6938206563</v>
      </c>
      <c r="I7" s="22">
        <f t="shared" si="0"/>
        <v>8476152.934635276</v>
      </c>
      <c r="J7" s="22">
        <f t="shared" si="0"/>
        <v>8730437.5226743333</v>
      </c>
      <c r="K7" s="22">
        <f t="shared" si="0"/>
        <v>8992350.6483545639</v>
      </c>
      <c r="L7" s="22">
        <f t="shared" si="0"/>
        <v>9262121.1678052004</v>
      </c>
    </row>
    <row r="8" spans="1:12" x14ac:dyDescent="0.2">
      <c r="A8" s="15" t="s">
        <v>138</v>
      </c>
    </row>
    <row r="9" spans="1:12" x14ac:dyDescent="0.2">
      <c r="A9" t="s">
        <v>139</v>
      </c>
      <c r="B9" s="20">
        <f>B7*0.14</f>
        <v>835625.28</v>
      </c>
      <c r="C9" s="20">
        <f>C7*0.12</f>
        <v>781310.92032000015</v>
      </c>
      <c r="D9" s="20">
        <f>D7*0.1</f>
        <v>710393.57373599999</v>
      </c>
      <c r="E9" s="20">
        <f t="shared" ref="E9:L9" si="1">E7*Stabilized_Vacancy</f>
        <v>376547.60492880002</v>
      </c>
      <c r="F9" s="20">
        <f t="shared" si="1"/>
        <v>387844.03307666397</v>
      </c>
      <c r="G9" s="20">
        <f t="shared" si="1"/>
        <v>399479.3540689639</v>
      </c>
      <c r="H9" s="20">
        <f t="shared" si="1"/>
        <v>411463.73469103285</v>
      </c>
      <c r="I9" s="20">
        <f t="shared" si="1"/>
        <v>423807.64673176385</v>
      </c>
      <c r="J9" s="20">
        <f t="shared" si="1"/>
        <v>436521.87613371667</v>
      </c>
      <c r="K9" s="20">
        <f t="shared" si="1"/>
        <v>449617.53241772822</v>
      </c>
      <c r="L9" s="20">
        <f t="shared" si="1"/>
        <v>463106.05839026003</v>
      </c>
    </row>
    <row r="10" spans="1:12" x14ac:dyDescent="0.2">
      <c r="A10" s="15" t="s">
        <v>47</v>
      </c>
      <c r="B10" s="25">
        <f t="shared" ref="B10:L10" si="2">B7-B9</f>
        <v>5133126.72</v>
      </c>
      <c r="C10" s="25">
        <f t="shared" si="2"/>
        <v>5729613.4156800006</v>
      </c>
      <c r="D10" s="25">
        <f t="shared" si="2"/>
        <v>6393542.1636239998</v>
      </c>
      <c r="E10" s="25">
        <f t="shared" si="2"/>
        <v>7154404.4936472001</v>
      </c>
      <c r="F10" s="25">
        <f t="shared" si="2"/>
        <v>7369036.6284566149</v>
      </c>
      <c r="G10" s="25">
        <f t="shared" si="2"/>
        <v>7590107.7273103138</v>
      </c>
      <c r="H10" s="25">
        <f t="shared" si="2"/>
        <v>7817810.9591296231</v>
      </c>
      <c r="I10" s="25">
        <f t="shared" si="2"/>
        <v>8052345.2879035119</v>
      </c>
      <c r="J10" s="25">
        <f t="shared" si="2"/>
        <v>8293915.6465406166</v>
      </c>
      <c r="K10" s="25">
        <f t="shared" si="2"/>
        <v>8542733.1159368362</v>
      </c>
      <c r="L10" s="25">
        <f t="shared" si="2"/>
        <v>8799015.1094149407</v>
      </c>
    </row>
    <row r="12" spans="1:12" ht="19" x14ac:dyDescent="0.25">
      <c r="A12" s="2" t="s">
        <v>140</v>
      </c>
    </row>
    <row r="13" spans="1:12" x14ac:dyDescent="0.2">
      <c r="A13" t="s">
        <v>49</v>
      </c>
      <c r="B13" s="20">
        <f>Purchase_Price*Tax_Rate+Special_Assessments</f>
        <v>165000</v>
      </c>
      <c r="C13" s="20">
        <f>Purchase_Price*POWER(1+Prop13_Cap,1)*Tax_Rate+Special_Assessments</f>
        <v>168300</v>
      </c>
      <c r="D13" s="20">
        <f>Purchase_Price*POWER(1+Prop13_Cap,2)*Tax_Rate+Special_Assessments</f>
        <v>171666</v>
      </c>
      <c r="E13" s="20">
        <f>Purchase_Price*POWER(1+Prop13_Cap,3)*Tax_Rate+Special_Assessments</f>
        <v>175099.31999999998</v>
      </c>
      <c r="F13" s="20">
        <f>Purchase_Price*POWER(1+Prop13_Cap,4)*Tax_Rate+Special_Assessments</f>
        <v>178601.3064</v>
      </c>
      <c r="G13" s="20">
        <f>Purchase_Price*POWER(1+Prop13_Cap,5)*Tax_Rate+Special_Assessments</f>
        <v>182173.332528</v>
      </c>
      <c r="H13" s="20">
        <f>Purchase_Price*POWER(1+Prop13_Cap,6)*Tax_Rate+Special_Assessments</f>
        <v>185816.79917856</v>
      </c>
      <c r="I13" s="20">
        <f>Purchase_Price*POWER(1+Prop13_Cap,7)*Tax_Rate+Special_Assessments</f>
        <v>189533.13516213116</v>
      </c>
      <c r="J13" s="20">
        <f>Purchase_Price*POWER(1+Prop13_Cap,8)*Tax_Rate+Special_Assessments</f>
        <v>193323.79786537378</v>
      </c>
      <c r="K13" s="20">
        <f>Purchase_Price*POWER(1+Prop13_Cap,9)*Tax_Rate+Special_Assessments</f>
        <v>197190.27382268131</v>
      </c>
      <c r="L13" s="20">
        <f>Purchase_Price*POWER(1+Prop13_Cap,10)*Tax_Rate+Special_Assessments</f>
        <v>201134.0792991349</v>
      </c>
    </row>
    <row r="14" spans="1:12" x14ac:dyDescent="0.2">
      <c r="A14" t="s">
        <v>50</v>
      </c>
      <c r="B14" s="20">
        <f>ASSUMPTIONS!B58</f>
        <v>0</v>
      </c>
      <c r="C14" s="20">
        <f>ASSUMPTIONS!B58*POWER(1+OpEx_Growth,1)</f>
        <v>0</v>
      </c>
      <c r="D14" s="20">
        <f>ASSUMPTIONS!B58*POWER(1+OpEx_Growth,2)</f>
        <v>0</v>
      </c>
      <c r="E14" s="20">
        <f>ASSUMPTIONS!B58*POWER(1+OpEx_Growth,3)</f>
        <v>0</v>
      </c>
      <c r="F14" s="20">
        <f>ASSUMPTIONS!B58*POWER(1+OpEx_Growth,4)</f>
        <v>0</v>
      </c>
      <c r="G14" s="20">
        <f>ASSUMPTIONS!B58*POWER(1+OpEx_Growth,5)</f>
        <v>0</v>
      </c>
      <c r="H14" s="20">
        <f>ASSUMPTIONS!B58*POWER(1+OpEx_Growth,6)</f>
        <v>0</v>
      </c>
      <c r="I14" s="20">
        <f>ASSUMPTIONS!B58*POWER(1+OpEx_Growth,7)</f>
        <v>0</v>
      </c>
      <c r="J14" s="20">
        <f>ASSUMPTIONS!B58*POWER(1+OpEx_Growth,8)</f>
        <v>0</v>
      </c>
      <c r="K14" s="20">
        <f>ASSUMPTIONS!B58*POWER(1+OpEx_Growth,9)</f>
        <v>0</v>
      </c>
      <c r="L14" s="20">
        <f>ASSUMPTIONS!B58*POWER(1+OpEx_Growth,10)</f>
        <v>0</v>
      </c>
    </row>
    <row r="15" spans="1:12" x14ac:dyDescent="0.2">
      <c r="A15" t="s">
        <v>141</v>
      </c>
      <c r="B15" s="20">
        <f>ASSUMPTIONS!B59+ASSUMPTIONS!B60+ASSUMPTIONS!B61+ASSUMPTIONS!B62</f>
        <v>5635272.1958043696</v>
      </c>
      <c r="C15" s="20">
        <f>ASSUMPTIONS!B59+ASSUMPTIONS!B60+ASSUMPTIONS!B61+ASSUMPTIONS!B62*POWER(1+OpEx_Growth,1)</f>
        <v>5635272.1958043696</v>
      </c>
      <c r="D15" s="20">
        <f>ASSUMPTIONS!B59+ASSUMPTIONS!B60+ASSUMPTIONS!B61+ASSUMPTIONS!B62*POWER(1+OpEx_Growth,2)</f>
        <v>5635272.1958043696</v>
      </c>
      <c r="E15" s="20">
        <f>ASSUMPTIONS!B59+ASSUMPTIONS!B60+ASSUMPTIONS!B61+ASSUMPTIONS!B62*POWER(1+OpEx_Growth,3)</f>
        <v>5635272.1958043696</v>
      </c>
      <c r="F15" s="20">
        <f>ASSUMPTIONS!B59+ASSUMPTIONS!B60+ASSUMPTIONS!B61+ASSUMPTIONS!B62*POWER(1+OpEx_Growth,4)</f>
        <v>5635272.1958043696</v>
      </c>
      <c r="G15" s="20">
        <f>ASSUMPTIONS!B59+ASSUMPTIONS!B60+ASSUMPTIONS!B61+ASSUMPTIONS!B62*POWER(1+OpEx_Growth,5)</f>
        <v>5635272.1958043696</v>
      </c>
      <c r="H15" s="20">
        <f>ASSUMPTIONS!B59+ASSUMPTIONS!B60+ASSUMPTIONS!B61+ASSUMPTIONS!B62*POWER(1+OpEx_Growth,6)</f>
        <v>5635272.1958043696</v>
      </c>
      <c r="I15" s="20">
        <f>ASSUMPTIONS!B59+ASSUMPTIONS!B60+ASSUMPTIONS!B61+ASSUMPTIONS!B62*POWER(1+OpEx_Growth,7)</f>
        <v>5635272.1958043696</v>
      </c>
      <c r="J15" s="20">
        <f>ASSUMPTIONS!B59+ASSUMPTIONS!B60+ASSUMPTIONS!B61+ASSUMPTIONS!B62*POWER(1+OpEx_Growth,8)</f>
        <v>5635272.1958043696</v>
      </c>
      <c r="K15" s="20">
        <f>ASSUMPTIONS!B59+ASSUMPTIONS!B60+ASSUMPTIONS!B61+ASSUMPTIONS!B62*POWER(1+OpEx_Growth,9)</f>
        <v>5635272.1958043696</v>
      </c>
      <c r="L15" s="20">
        <f>ASSUMPTIONS!B59+ASSUMPTIONS!B60+ASSUMPTIONS!B61+ASSUMPTIONS!B62*POWER(1+OpEx_Growth,10)</f>
        <v>5635272.1958043696</v>
      </c>
    </row>
    <row r="16" spans="1:12" x14ac:dyDescent="0.2">
      <c r="A16" t="s">
        <v>55</v>
      </c>
      <c r="B16" s="20">
        <f>ASSUMPTIONS!B63</f>
        <v>0</v>
      </c>
      <c r="C16" s="20">
        <f>ASSUMPTIONS!B63*POWER(1+OpEx_Growth,1)</f>
        <v>0</v>
      </c>
      <c r="D16" s="20">
        <f>ASSUMPTIONS!B63*POWER(1+OpEx_Growth,2)</f>
        <v>0</v>
      </c>
      <c r="E16" s="20">
        <f>ASSUMPTIONS!B63*POWER(1+OpEx_Growth,3)</f>
        <v>0</v>
      </c>
      <c r="F16" s="20">
        <f>ASSUMPTIONS!B63*POWER(1+OpEx_Growth,4)</f>
        <v>0</v>
      </c>
      <c r="G16" s="20">
        <f>ASSUMPTIONS!B63*POWER(1+OpEx_Growth,5)</f>
        <v>0</v>
      </c>
      <c r="H16" s="20">
        <f>ASSUMPTIONS!B63*POWER(1+OpEx_Growth,6)</f>
        <v>0</v>
      </c>
      <c r="I16" s="20">
        <f>ASSUMPTIONS!B63*POWER(1+OpEx_Growth,7)</f>
        <v>0</v>
      </c>
      <c r="J16" s="20">
        <f>ASSUMPTIONS!B63*POWER(1+OpEx_Growth,8)</f>
        <v>0</v>
      </c>
      <c r="K16" s="20">
        <f>ASSUMPTIONS!B63*POWER(1+OpEx_Growth,9)</f>
        <v>0</v>
      </c>
      <c r="L16" s="20">
        <f>ASSUMPTIONS!B63*POWER(1+OpEx_Growth,10)</f>
        <v>0</v>
      </c>
    </row>
    <row r="17" spans="1:12" x14ac:dyDescent="0.2">
      <c r="A17" t="s">
        <v>56</v>
      </c>
      <c r="B17" s="20">
        <f>ASSUMPTIONS!B64</f>
        <v>1960000</v>
      </c>
      <c r="C17" s="20">
        <f>ASSUMPTIONS!B64*POWER(1+OpEx_Growth,1)</f>
        <v>2018800</v>
      </c>
      <c r="D17" s="20">
        <f>ASSUMPTIONS!B64*POWER(1+OpEx_Growth,2)</f>
        <v>2079364</v>
      </c>
      <c r="E17" s="20">
        <f>ASSUMPTIONS!B64*POWER(1+OpEx_Growth,3)</f>
        <v>2141744.92</v>
      </c>
      <c r="F17" s="20">
        <f>ASSUMPTIONS!B64*POWER(1+OpEx_Growth,4)</f>
        <v>2205997.2675999999</v>
      </c>
      <c r="G17" s="20">
        <f>ASSUMPTIONS!B64*POWER(1+OpEx_Growth,5)</f>
        <v>2272177.1856279997</v>
      </c>
      <c r="H17" s="20">
        <f>ASSUMPTIONS!B64*POWER(1+OpEx_Growth,6)</f>
        <v>2340342.5011968398</v>
      </c>
      <c r="I17" s="20">
        <f>ASSUMPTIONS!B64*POWER(1+OpEx_Growth,7)</f>
        <v>2410552.776232745</v>
      </c>
      <c r="J17" s="20">
        <f>ASSUMPTIONS!B64*POWER(1+OpEx_Growth,8)</f>
        <v>2482869.3595197271</v>
      </c>
      <c r="K17" s="20">
        <f>ASSUMPTIONS!B64*POWER(1+OpEx_Growth,9)</f>
        <v>2557355.4403053191</v>
      </c>
      <c r="L17" s="20">
        <f>ASSUMPTIONS!B64*POWER(1+OpEx_Growth,10)</f>
        <v>2634076.1035144785</v>
      </c>
    </row>
    <row r="18" spans="1:12" x14ac:dyDescent="0.2">
      <c r="A18" t="s">
        <v>142</v>
      </c>
      <c r="B18" s="20">
        <f>ASSUMPTIONS!B68</f>
        <v>0</v>
      </c>
      <c r="C18" s="20">
        <f>ASSUMPTIONS!B68*POWER(1+OpEx_Growth,1)</f>
        <v>0</v>
      </c>
      <c r="D18" s="20">
        <f>ASSUMPTIONS!B68*POWER(1+OpEx_Growth,2)</f>
        <v>0</v>
      </c>
      <c r="E18" s="20">
        <f>ASSUMPTIONS!B68*POWER(1+OpEx_Growth,3)</f>
        <v>0</v>
      </c>
      <c r="F18" s="20">
        <f>ASSUMPTIONS!B68*POWER(1+OpEx_Growth,4)</f>
        <v>0</v>
      </c>
      <c r="G18" s="20">
        <f>ASSUMPTIONS!B68*POWER(1+OpEx_Growth,5)</f>
        <v>0</v>
      </c>
      <c r="H18" s="20">
        <f>ASSUMPTIONS!B68*POWER(1+OpEx_Growth,6)</f>
        <v>0</v>
      </c>
      <c r="I18" s="20">
        <f>ASSUMPTIONS!B68*POWER(1+OpEx_Growth,7)</f>
        <v>0</v>
      </c>
      <c r="J18" s="20">
        <f>ASSUMPTIONS!B68*POWER(1+OpEx_Growth,8)</f>
        <v>0</v>
      </c>
      <c r="K18" s="20">
        <f>ASSUMPTIONS!B68*POWER(1+OpEx_Growth,9)</f>
        <v>0</v>
      </c>
      <c r="L18" s="20">
        <f>ASSUMPTIONS!B68*POWER(1+OpEx_Growth,10)</f>
        <v>0</v>
      </c>
    </row>
    <row r="19" spans="1:12" x14ac:dyDescent="0.2">
      <c r="A19" t="s">
        <v>60</v>
      </c>
      <c r="B19" s="20">
        <f>ASSUMPTIONS!B69</f>
        <v>0</v>
      </c>
      <c r="C19" s="20">
        <f>ASSUMPTIONS!B69*POWER(1+OpEx_Growth,1)</f>
        <v>0</v>
      </c>
      <c r="D19" s="20">
        <f>ASSUMPTIONS!B69*POWER(1+OpEx_Growth,2)</f>
        <v>0</v>
      </c>
      <c r="E19" s="20">
        <f>ASSUMPTIONS!B69*POWER(1+OpEx_Growth,3)</f>
        <v>0</v>
      </c>
      <c r="F19" s="20">
        <f>ASSUMPTIONS!B69*POWER(1+OpEx_Growth,4)</f>
        <v>0</v>
      </c>
      <c r="G19" s="20">
        <f>ASSUMPTIONS!B69*POWER(1+OpEx_Growth,5)</f>
        <v>0</v>
      </c>
      <c r="H19" s="20">
        <f>ASSUMPTIONS!B69*POWER(1+OpEx_Growth,6)</f>
        <v>0</v>
      </c>
      <c r="I19" s="20">
        <f>ASSUMPTIONS!B69*POWER(1+OpEx_Growth,7)</f>
        <v>0</v>
      </c>
      <c r="J19" s="20">
        <f>ASSUMPTIONS!B69*POWER(1+OpEx_Growth,8)</f>
        <v>0</v>
      </c>
      <c r="K19" s="20">
        <f>ASSUMPTIONS!B69*POWER(1+OpEx_Growth,9)</f>
        <v>0</v>
      </c>
      <c r="L19" s="20">
        <f>ASSUMPTIONS!B69*POWER(1+OpEx_Growth,10)</f>
        <v>0</v>
      </c>
    </row>
    <row r="20" spans="1:12" x14ac:dyDescent="0.2">
      <c r="A20" t="s">
        <v>61</v>
      </c>
      <c r="B20" s="20">
        <f>ASSUMPTIONS!B70</f>
        <v>0.03</v>
      </c>
      <c r="C20" s="20">
        <f>ASSUMPTIONS!B70*POWER(1+OpEx_Growth,1)</f>
        <v>3.09E-2</v>
      </c>
      <c r="D20" s="20">
        <f>ASSUMPTIONS!B70*POWER(1+OpEx_Growth,2)</f>
        <v>3.1826999999999994E-2</v>
      </c>
      <c r="E20" s="20">
        <f>ASSUMPTIONS!B70*POWER(1+OpEx_Growth,3)</f>
        <v>3.2781810000000002E-2</v>
      </c>
      <c r="F20" s="20">
        <f>ASSUMPTIONS!B70*POWER(1+OpEx_Growth,4)</f>
        <v>3.3765264299999993E-2</v>
      </c>
      <c r="G20" s="20">
        <f>ASSUMPTIONS!B70*POWER(1+OpEx_Growth,5)</f>
        <v>3.4778222228999997E-2</v>
      </c>
      <c r="H20" s="20">
        <f>ASSUMPTIONS!B70*POWER(1+OpEx_Growth,6)</f>
        <v>3.5821568895869994E-2</v>
      </c>
      <c r="I20" s="20">
        <f>ASSUMPTIONS!B70*POWER(1+OpEx_Growth,7)</f>
        <v>3.6896215962746101E-2</v>
      </c>
      <c r="J20" s="20">
        <f>ASSUMPTIONS!B70*POWER(1+OpEx_Growth,8)</f>
        <v>3.8003102441628474E-2</v>
      </c>
      <c r="K20" s="20">
        <f>ASSUMPTIONS!B70*POWER(1+OpEx_Growth,9)</f>
        <v>3.9143195514877334E-2</v>
      </c>
      <c r="L20" s="20">
        <f>ASSUMPTIONS!B70*POWER(1+OpEx_Growth,10)</f>
        <v>4.0317491380323651E-2</v>
      </c>
    </row>
    <row r="21" spans="1:12" x14ac:dyDescent="0.2">
      <c r="A21" t="s">
        <v>143</v>
      </c>
      <c r="B21" s="20">
        <f t="shared" ref="B21:L21" si="3">B10*Mgmt_Fee_Pct</f>
        <v>205325.06880000001</v>
      </c>
      <c r="C21" s="20">
        <f t="shared" si="3"/>
        <v>229184.53662720002</v>
      </c>
      <c r="D21" s="20">
        <f t="shared" si="3"/>
        <v>255741.68654495999</v>
      </c>
      <c r="E21" s="20">
        <f t="shared" si="3"/>
        <v>286176.17974588799</v>
      </c>
      <c r="F21" s="20">
        <f t="shared" si="3"/>
        <v>294761.46513826458</v>
      </c>
      <c r="G21" s="20">
        <f t="shared" si="3"/>
        <v>303604.30909241259</v>
      </c>
      <c r="H21" s="20">
        <f t="shared" si="3"/>
        <v>312712.43836518493</v>
      </c>
      <c r="I21" s="20">
        <f t="shared" si="3"/>
        <v>322093.81151614047</v>
      </c>
      <c r="J21" s="20">
        <f t="shared" si="3"/>
        <v>331756.62586162466</v>
      </c>
      <c r="K21" s="20">
        <f t="shared" si="3"/>
        <v>341709.32463747344</v>
      </c>
      <c r="L21" s="20">
        <f t="shared" si="3"/>
        <v>351960.60437659762</v>
      </c>
    </row>
    <row r="22" spans="1:12" x14ac:dyDescent="0.2">
      <c r="A22" s="15" t="s">
        <v>62</v>
      </c>
      <c r="B22" s="26">
        <f t="shared" ref="B22:L22" si="4">SUM(B13:B21)</f>
        <v>7965597.2946043704</v>
      </c>
      <c r="C22" s="26">
        <f t="shared" si="4"/>
        <v>8051556.7633315697</v>
      </c>
      <c r="D22" s="26">
        <f t="shared" si="4"/>
        <v>8142043.91417633</v>
      </c>
      <c r="E22" s="26">
        <f t="shared" si="4"/>
        <v>8238292.6483320678</v>
      </c>
      <c r="F22" s="26">
        <f t="shared" si="4"/>
        <v>8314632.2687078984</v>
      </c>
      <c r="G22" s="26">
        <f t="shared" si="4"/>
        <v>8393227.0578310043</v>
      </c>
      <c r="H22" s="26">
        <f t="shared" si="4"/>
        <v>8474143.9703665245</v>
      </c>
      <c r="I22" s="26">
        <f t="shared" si="4"/>
        <v>8557451.9556116015</v>
      </c>
      <c r="J22" s="26">
        <f t="shared" si="4"/>
        <v>8643222.0170541983</v>
      </c>
      <c r="K22" s="26">
        <f t="shared" si="4"/>
        <v>8731527.2737130374</v>
      </c>
      <c r="L22" s="26">
        <f t="shared" si="4"/>
        <v>8822443.0233120713</v>
      </c>
    </row>
    <row r="24" spans="1:12" x14ac:dyDescent="0.2">
      <c r="A24" s="15" t="s">
        <v>144</v>
      </c>
      <c r="B24" s="21">
        <f t="shared" ref="B24:L24" si="5">B10-B22</f>
        <v>-2832470.5746043706</v>
      </c>
      <c r="C24" s="21">
        <f t="shared" si="5"/>
        <v>-2321943.3476515692</v>
      </c>
      <c r="D24" s="21">
        <f t="shared" si="5"/>
        <v>-1748501.7505523302</v>
      </c>
      <c r="E24" s="21">
        <f t="shared" si="5"/>
        <v>-1083888.1546848677</v>
      </c>
      <c r="F24" s="21">
        <f t="shared" si="5"/>
        <v>-945595.64025128353</v>
      </c>
      <c r="G24" s="21">
        <f t="shared" si="5"/>
        <v>-803119.33052069042</v>
      </c>
      <c r="H24" s="21">
        <f t="shared" si="5"/>
        <v>-656333.0112369014</v>
      </c>
      <c r="I24" s="21">
        <f t="shared" si="5"/>
        <v>-505106.66770808958</v>
      </c>
      <c r="J24" s="21">
        <f t="shared" si="5"/>
        <v>-349306.37051358167</v>
      </c>
      <c r="K24" s="21">
        <f t="shared" si="5"/>
        <v>-188794.15777620114</v>
      </c>
      <c r="L24" s="21">
        <f t="shared" si="5"/>
        <v>-23427.913897130638</v>
      </c>
    </row>
    <row r="25" spans="1:12" x14ac:dyDescent="0.2">
      <c r="A25" t="s">
        <v>145</v>
      </c>
      <c r="B25" s="20">
        <f t="shared" ref="B25:L25" si="6">B24/Total_Units</f>
        <v>-14162.352873021853</v>
      </c>
      <c r="C25" s="20">
        <f t="shared" si="6"/>
        <v>-11609.716738257846</v>
      </c>
      <c r="D25" s="20">
        <f t="shared" si="6"/>
        <v>-8742.5087527616506</v>
      </c>
      <c r="E25" s="20">
        <f t="shared" si="6"/>
        <v>-5419.4407734243387</v>
      </c>
      <c r="F25" s="20">
        <f t="shared" si="6"/>
        <v>-4727.9782012564174</v>
      </c>
      <c r="G25" s="20">
        <f t="shared" si="6"/>
        <v>-4015.5966526034522</v>
      </c>
      <c r="H25" s="20">
        <f t="shared" si="6"/>
        <v>-3281.6650561845072</v>
      </c>
      <c r="I25" s="20">
        <f t="shared" si="6"/>
        <v>-2525.5333385404479</v>
      </c>
      <c r="J25" s="20">
        <f t="shared" si="6"/>
        <v>-1746.5318525679083</v>
      </c>
      <c r="K25" s="20">
        <f t="shared" si="6"/>
        <v>-943.97078888100577</v>
      </c>
      <c r="L25" s="20">
        <f t="shared" si="6"/>
        <v>-117.1395694856532</v>
      </c>
    </row>
    <row r="26" spans="1:12" x14ac:dyDescent="0.2">
      <c r="A26" t="s">
        <v>146</v>
      </c>
      <c r="B26" s="27">
        <f t="shared" ref="B26:L26" si="7">B24/B10</f>
        <v>-0.55180219174569112</v>
      </c>
      <c r="C26" s="27">
        <f t="shared" si="7"/>
        <v>-0.40525305621792929</v>
      </c>
      <c r="D26" s="27">
        <f t="shared" si="7"/>
        <v>-0.27347934928785095</v>
      </c>
      <c r="E26" s="27">
        <f t="shared" si="7"/>
        <v>-0.15149942327797</v>
      </c>
      <c r="F26" s="27">
        <f t="shared" si="7"/>
        <v>-0.12832011671644125</v>
      </c>
      <c r="G26" s="27">
        <f t="shared" si="7"/>
        <v>-0.10581132170640346</v>
      </c>
      <c r="H26" s="27">
        <f t="shared" si="7"/>
        <v>-8.3953553580166471E-2</v>
      </c>
      <c r="I26" s="27">
        <f t="shared" si="7"/>
        <v>-6.2727894749729229E-2</v>
      </c>
      <c r="J26" s="27">
        <f t="shared" si="7"/>
        <v>-4.2115978194120766E-2</v>
      </c>
      <c r="K26" s="27">
        <f t="shared" si="7"/>
        <v>-2.2099971427645037E-2</v>
      </c>
      <c r="L26" s="27">
        <f t="shared" si="7"/>
        <v>-2.6625609350372391E-3</v>
      </c>
    </row>
    <row r="28" spans="1:12" ht="19" x14ac:dyDescent="0.25">
      <c r="A28" s="2" t="s">
        <v>147</v>
      </c>
    </row>
    <row r="29" spans="1:12" x14ac:dyDescent="0.2">
      <c r="A29" t="s">
        <v>148</v>
      </c>
      <c r="B29" s="20">
        <f t="shared" ref="B29:L29" si="8">Total_Units*CapEx_Per_Unit</f>
        <v>80000</v>
      </c>
      <c r="C29" s="20">
        <f t="shared" si="8"/>
        <v>80000</v>
      </c>
      <c r="D29" s="20">
        <f t="shared" si="8"/>
        <v>80000</v>
      </c>
      <c r="E29" s="20">
        <f t="shared" si="8"/>
        <v>80000</v>
      </c>
      <c r="F29" s="20">
        <f t="shared" si="8"/>
        <v>80000</v>
      </c>
      <c r="G29" s="20">
        <f t="shared" si="8"/>
        <v>80000</v>
      </c>
      <c r="H29" s="20">
        <f t="shared" si="8"/>
        <v>80000</v>
      </c>
      <c r="I29" s="20">
        <f t="shared" si="8"/>
        <v>80000</v>
      </c>
      <c r="J29" s="20">
        <f t="shared" si="8"/>
        <v>80000</v>
      </c>
      <c r="K29" s="20">
        <f t="shared" si="8"/>
        <v>80000</v>
      </c>
      <c r="L29" s="20">
        <f t="shared" si="8"/>
        <v>80000</v>
      </c>
    </row>
    <row r="30" spans="1:12" x14ac:dyDescent="0.2">
      <c r="A30" t="s">
        <v>149</v>
      </c>
      <c r="B30" s="20">
        <f>Total_Renovation_Budget*0.4</f>
        <v>11862400.000000002</v>
      </c>
      <c r="C30" s="20">
        <f>Total_Renovation_Budget*0.4</f>
        <v>11862400.000000002</v>
      </c>
      <c r="D30" s="20">
        <f>Total_Renovation_Budget*0.2</f>
        <v>5931200.0000000009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</row>
    <row r="31" spans="1:12" x14ac:dyDescent="0.2">
      <c r="A31" t="s">
        <v>150</v>
      </c>
      <c r="B31" s="20">
        <v>0</v>
      </c>
      <c r="C31" s="20">
        <f t="shared" ref="C31:L31" si="9">Annual_Debt_Service</f>
        <v>853291.83171550115</v>
      </c>
      <c r="D31" s="20">
        <f t="shared" si="9"/>
        <v>853291.83171550115</v>
      </c>
      <c r="E31" s="20">
        <f t="shared" si="9"/>
        <v>853291.83171550115</v>
      </c>
      <c r="F31" s="20">
        <f t="shared" si="9"/>
        <v>853291.83171550115</v>
      </c>
      <c r="G31" s="20">
        <f t="shared" si="9"/>
        <v>853291.83171550115</v>
      </c>
      <c r="H31" s="20">
        <f t="shared" si="9"/>
        <v>853291.83171550115</v>
      </c>
      <c r="I31" s="20">
        <f t="shared" si="9"/>
        <v>853291.83171550115</v>
      </c>
      <c r="J31" s="20">
        <f t="shared" si="9"/>
        <v>853291.83171550115</v>
      </c>
      <c r="K31" s="20">
        <f t="shared" si="9"/>
        <v>853291.83171550115</v>
      </c>
      <c r="L31" s="20">
        <f t="shared" si="9"/>
        <v>853291.83171550115</v>
      </c>
    </row>
    <row r="32" spans="1:12" x14ac:dyDescent="0.2">
      <c r="A32" t="s">
        <v>151</v>
      </c>
      <c r="B32" t="s">
        <v>152</v>
      </c>
      <c r="C32" s="28">
        <f t="shared" ref="C32:L32" si="10">C24/C31</f>
        <v>-2.7211597033378565</v>
      </c>
      <c r="D32" s="28">
        <f t="shared" si="10"/>
        <v>-2.0491251475325312</v>
      </c>
      <c r="E32" s="28">
        <f t="shared" si="10"/>
        <v>-1.2702432091794011</v>
      </c>
      <c r="F32" s="28">
        <f t="shared" si="10"/>
        <v>-1.1081737866284389</v>
      </c>
      <c r="G32" s="28">
        <f t="shared" si="10"/>
        <v>-0.94120124050180887</v>
      </c>
      <c r="H32" s="28">
        <f t="shared" si="10"/>
        <v>-0.76917765627426227</v>
      </c>
      <c r="I32" s="28">
        <f t="shared" si="10"/>
        <v>-0.59195066556842291</v>
      </c>
      <c r="J32" s="28">
        <f t="shared" si="10"/>
        <v>-0.40936331221092137</v>
      </c>
      <c r="K32" s="28">
        <f t="shared" si="10"/>
        <v>-0.22125391426358765</v>
      </c>
      <c r="L32" s="28">
        <f t="shared" si="10"/>
        <v>-2.7455921908955783E-2</v>
      </c>
    </row>
    <row r="34" spans="1:12" x14ac:dyDescent="0.2">
      <c r="A34" s="15" t="s">
        <v>153</v>
      </c>
      <c r="B34" s="22">
        <f t="shared" ref="B34:L34" si="11">B24-B29-B30-B31</f>
        <v>-14774870.574604373</v>
      </c>
      <c r="C34" s="22">
        <f t="shared" si="11"/>
        <v>-15117635.179367073</v>
      </c>
      <c r="D34" s="22">
        <f t="shared" si="11"/>
        <v>-8612993.582267832</v>
      </c>
      <c r="E34" s="22">
        <f t="shared" si="11"/>
        <v>-2017179.9864003689</v>
      </c>
      <c r="F34" s="22">
        <f t="shared" si="11"/>
        <v>-1878887.4719667847</v>
      </c>
      <c r="G34" s="22">
        <f t="shared" si="11"/>
        <v>-1736411.1622361916</v>
      </c>
      <c r="H34" s="22">
        <f t="shared" si="11"/>
        <v>-1589624.8429524025</v>
      </c>
      <c r="I34" s="22">
        <f t="shared" si="11"/>
        <v>-1438398.4994235907</v>
      </c>
      <c r="J34" s="22">
        <f t="shared" si="11"/>
        <v>-1282598.2022290828</v>
      </c>
      <c r="K34" s="22">
        <f t="shared" si="11"/>
        <v>-1122085.9894917023</v>
      </c>
      <c r="L34" s="22">
        <f t="shared" si="11"/>
        <v>-956719.74561263178</v>
      </c>
    </row>
    <row r="36" spans="1:12" ht="19" x14ac:dyDescent="0.25">
      <c r="A36" s="2" t="s">
        <v>154</v>
      </c>
    </row>
    <row r="37" spans="1:12" x14ac:dyDescent="0.2">
      <c r="A37" t="s">
        <v>155</v>
      </c>
      <c r="B37" s="20">
        <f t="shared" ref="B37:K37" si="12">C24</f>
        <v>-2321943.3476515692</v>
      </c>
      <c r="C37" s="20">
        <f t="shared" si="12"/>
        <v>-1748501.7505523302</v>
      </c>
      <c r="D37" s="20">
        <f t="shared" si="12"/>
        <v>-1083888.1546848677</v>
      </c>
      <c r="E37" s="20">
        <f t="shared" si="12"/>
        <v>-945595.64025128353</v>
      </c>
      <c r="F37" s="20">
        <f t="shared" si="12"/>
        <v>-803119.33052069042</v>
      </c>
      <c r="G37" s="20">
        <f t="shared" si="12"/>
        <v>-656333.0112369014</v>
      </c>
      <c r="H37" s="20">
        <f t="shared" si="12"/>
        <v>-505106.66770808958</v>
      </c>
      <c r="I37" s="20">
        <f t="shared" si="12"/>
        <v>-349306.37051358167</v>
      </c>
      <c r="J37" s="20">
        <f t="shared" si="12"/>
        <v>-188794.15777620114</v>
      </c>
      <c r="K37" s="20">
        <f t="shared" si="12"/>
        <v>-23427.913897130638</v>
      </c>
      <c r="L37" s="20">
        <f>L24*1.03</f>
        <v>-24130.751314044559</v>
      </c>
    </row>
    <row r="38" spans="1:12" x14ac:dyDescent="0.2">
      <c r="A38" t="s">
        <v>156</v>
      </c>
      <c r="B38" s="20">
        <f t="shared" ref="B38:L38" si="13">B37/Exit_Cap_Rate</f>
        <v>-38699055.794192821</v>
      </c>
      <c r="C38" s="20">
        <f t="shared" si="13"/>
        <v>-29141695.842538837</v>
      </c>
      <c r="D38" s="20">
        <f t="shared" si="13"/>
        <v>-18064802.578081131</v>
      </c>
      <c r="E38" s="20">
        <f t="shared" si="13"/>
        <v>-15759927.337521393</v>
      </c>
      <c r="F38" s="20">
        <f t="shared" si="13"/>
        <v>-13385322.175344842</v>
      </c>
      <c r="G38" s="20">
        <f t="shared" si="13"/>
        <v>-10938883.520615024</v>
      </c>
      <c r="H38" s="20">
        <f t="shared" si="13"/>
        <v>-8418444.4618014935</v>
      </c>
      <c r="I38" s="20">
        <f t="shared" si="13"/>
        <v>-5821772.8418930285</v>
      </c>
      <c r="J38" s="20">
        <f t="shared" si="13"/>
        <v>-3146569.2962700194</v>
      </c>
      <c r="K38" s="20">
        <f t="shared" si="13"/>
        <v>-390465.23161884397</v>
      </c>
      <c r="L38" s="20">
        <f t="shared" si="13"/>
        <v>-402179.18856740935</v>
      </c>
    </row>
    <row r="39" spans="1:12" x14ac:dyDescent="0.2">
      <c r="A39" t="s">
        <v>157</v>
      </c>
      <c r="B39" s="20">
        <f t="shared" ref="B39:L39" si="14">B38*Sale_Costs_Pct</f>
        <v>-1547962.2317677129</v>
      </c>
      <c r="C39" s="20">
        <f t="shared" si="14"/>
        <v>-1165667.8337015535</v>
      </c>
      <c r="D39" s="20">
        <f t="shared" si="14"/>
        <v>-722592.1031232453</v>
      </c>
      <c r="E39" s="20">
        <f t="shared" si="14"/>
        <v>-630397.09350085573</v>
      </c>
      <c r="F39" s="20">
        <f t="shared" si="14"/>
        <v>-535412.88701379369</v>
      </c>
      <c r="G39" s="20">
        <f t="shared" si="14"/>
        <v>-437555.34082460101</v>
      </c>
      <c r="H39" s="20">
        <f t="shared" si="14"/>
        <v>-336737.77847205976</v>
      </c>
      <c r="I39" s="20">
        <f t="shared" si="14"/>
        <v>-232870.91367572115</v>
      </c>
      <c r="J39" s="20">
        <f t="shared" si="14"/>
        <v>-125862.77185080078</v>
      </c>
      <c r="K39" s="20">
        <f t="shared" si="14"/>
        <v>-15618.609264753759</v>
      </c>
      <c r="L39" s="20">
        <f t="shared" si="14"/>
        <v>-16087.167542696374</v>
      </c>
    </row>
    <row r="40" spans="1:12" x14ac:dyDescent="0.2">
      <c r="A40" t="s">
        <v>158</v>
      </c>
      <c r="B40" s="20">
        <f t="shared" ref="B40:L40" si="15">B38-B39</f>
        <v>-37151093.562425107</v>
      </c>
      <c r="C40" s="20">
        <f t="shared" si="15"/>
        <v>-27976028.008837283</v>
      </c>
      <c r="D40" s="20">
        <f t="shared" si="15"/>
        <v>-17342210.474957887</v>
      </c>
      <c r="E40" s="20">
        <f t="shared" si="15"/>
        <v>-15129530.244020537</v>
      </c>
      <c r="F40" s="20">
        <f t="shared" si="15"/>
        <v>-12849909.288331049</v>
      </c>
      <c r="G40" s="20">
        <f t="shared" si="15"/>
        <v>-10501328.179790424</v>
      </c>
      <c r="H40" s="20">
        <f t="shared" si="15"/>
        <v>-8081706.6833294341</v>
      </c>
      <c r="I40" s="20">
        <f t="shared" si="15"/>
        <v>-5588901.9282173077</v>
      </c>
      <c r="J40" s="20">
        <f t="shared" si="15"/>
        <v>-3020706.5244192188</v>
      </c>
      <c r="K40" s="20">
        <f t="shared" si="15"/>
        <v>-374846.62235409021</v>
      </c>
      <c r="L40" s="20">
        <f t="shared" si="15"/>
        <v>-386092.021024713</v>
      </c>
    </row>
    <row r="41" spans="1:12" x14ac:dyDescent="0.2">
      <c r="A41" t="s">
        <v>159</v>
      </c>
      <c r="B41" s="20">
        <f>Loan_Amount</f>
        <v>11250000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</row>
    <row r="42" spans="1:12" x14ac:dyDescent="0.2">
      <c r="A42" s="15" t="s">
        <v>160</v>
      </c>
      <c r="B42" s="22">
        <f t="shared" ref="B42:L42" si="16">B40-B41</f>
        <v>-48401093.562425107</v>
      </c>
      <c r="C42" s="22">
        <f t="shared" si="16"/>
        <v>-27976028.008837283</v>
      </c>
      <c r="D42" s="22">
        <f t="shared" si="16"/>
        <v>-17342210.474957887</v>
      </c>
      <c r="E42" s="22">
        <f t="shared" si="16"/>
        <v>-15129530.244020537</v>
      </c>
      <c r="F42" s="22">
        <f t="shared" si="16"/>
        <v>-12849909.288331049</v>
      </c>
      <c r="G42" s="22">
        <f t="shared" si="16"/>
        <v>-10501328.179790424</v>
      </c>
      <c r="H42" s="22">
        <f t="shared" si="16"/>
        <v>-8081706.6833294341</v>
      </c>
      <c r="I42" s="22">
        <f t="shared" si="16"/>
        <v>-5588901.9282173077</v>
      </c>
      <c r="J42" s="22">
        <f t="shared" si="16"/>
        <v>-3020706.5244192188</v>
      </c>
      <c r="K42" s="22">
        <f t="shared" si="16"/>
        <v>-374846.62235409021</v>
      </c>
      <c r="L42" s="22">
        <f t="shared" si="16"/>
        <v>-386092.021024713</v>
      </c>
    </row>
    <row r="44" spans="1:12" x14ac:dyDescent="0.2">
      <c r="A44" s="15" t="s">
        <v>161</v>
      </c>
      <c r="B44" s="21">
        <f>-Total_Equity+B34</f>
        <v>-3524870.5746043734</v>
      </c>
      <c r="C44" s="21">
        <f>IF(1=Hold_Period,C34+C42,C34)</f>
        <v>-15117635.179367073</v>
      </c>
      <c r="D44" s="21">
        <f>IF(2=Hold_Period,D34+D42,D34)</f>
        <v>-8612993.582267832</v>
      </c>
      <c r="E44" s="21">
        <f>IF(3=Hold_Period,E34+E42,E34)</f>
        <v>-2017179.9864003689</v>
      </c>
      <c r="F44" s="21">
        <f>IF(4=Hold_Period,F34+F42,F34)</f>
        <v>-1878887.4719667847</v>
      </c>
      <c r="G44" s="21">
        <f>IF(5=Hold_Period,G34+G42,G34)</f>
        <v>-1736411.1622361916</v>
      </c>
      <c r="H44" s="21">
        <f>IF(6=Hold_Period,H34+H42,H34)</f>
        <v>-1589624.8429524025</v>
      </c>
      <c r="I44" s="21">
        <f>IF(7=Hold_Period,I34+I42,I34)</f>
        <v>-1438398.4994235907</v>
      </c>
      <c r="J44" s="21">
        <f>IF(8=Hold_Period,J34+J42,J34)</f>
        <v>-1282598.2022290828</v>
      </c>
      <c r="K44" s="21">
        <f>IF(9=Hold_Period,K34+K42,K34)</f>
        <v>-1122085.9894917023</v>
      </c>
      <c r="L44" s="21">
        <f>IF(10=Hold_Period,L34+L42,L34)</f>
        <v>-1342811.7666373448</v>
      </c>
    </row>
    <row r="47" spans="1:12" ht="19" x14ac:dyDescent="0.25">
      <c r="A47" s="34" t="s">
        <v>162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</row>
    <row r="48" spans="1:12" x14ac:dyDescent="0.2">
      <c r="A48" t="s">
        <v>163</v>
      </c>
      <c r="B48" s="20">
        <f>Total_Equity</f>
        <v>-11250000</v>
      </c>
    </row>
    <row r="49" spans="1:2" x14ac:dyDescent="0.2">
      <c r="A49" s="15" t="s">
        <v>164</v>
      </c>
      <c r="B49" s="29" t="e">
        <f>IRR(B44:L44)</f>
        <v>#NUM!</v>
      </c>
    </row>
    <row r="50" spans="1:2" x14ac:dyDescent="0.2">
      <c r="A50" s="15" t="s">
        <v>165</v>
      </c>
      <c r="B50" s="30">
        <f>(SUM(B44:L44)+Total_Equity)/Total_Equity</f>
        <v>4.5256442006734892</v>
      </c>
    </row>
    <row r="51" spans="1:2" x14ac:dyDescent="0.2">
      <c r="A51" t="s">
        <v>166</v>
      </c>
      <c r="B51" s="27">
        <f>AVERAGE(E34:G34)/Total_Equity</f>
        <v>0.16688825542528429</v>
      </c>
    </row>
    <row r="52" spans="1:2" x14ac:dyDescent="0.2">
      <c r="A52" t="s">
        <v>167</v>
      </c>
      <c r="B52" s="20">
        <f>G24</f>
        <v>-803119.33052069042</v>
      </c>
    </row>
    <row r="53" spans="1:2" x14ac:dyDescent="0.2">
      <c r="A53" t="s">
        <v>168</v>
      </c>
      <c r="B53" s="27">
        <f>G24/Total_Uses</f>
        <v>-1.7775598746498984E-2</v>
      </c>
    </row>
  </sheetData>
  <mergeCells count="2">
    <mergeCell ref="A47:L47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6"/>
  <sheetViews>
    <sheetView workbookViewId="0"/>
  </sheetViews>
  <sheetFormatPr baseColWidth="10" defaultColWidth="8.83203125" defaultRowHeight="15" x14ac:dyDescent="0.2"/>
  <cols>
    <col min="1" max="1" width="25" customWidth="1"/>
    <col min="2" max="2" width="15" customWidth="1"/>
  </cols>
  <sheetData>
    <row r="1" spans="1:1" ht="24" x14ac:dyDescent="0.3">
      <c r="A1" s="1" t="s">
        <v>169</v>
      </c>
    </row>
    <row r="3" spans="1:1" x14ac:dyDescent="0.2">
      <c r="A3" t="s">
        <v>170</v>
      </c>
    </row>
    <row r="5" spans="1:1" x14ac:dyDescent="0.2">
      <c r="A5" s="15" t="s">
        <v>171</v>
      </c>
    </row>
    <row r="6" spans="1:1" x14ac:dyDescent="0.2">
      <c r="A6" t="s">
        <v>172</v>
      </c>
    </row>
    <row r="7" spans="1:1" x14ac:dyDescent="0.2">
      <c r="A7" t="s">
        <v>30</v>
      </c>
    </row>
    <row r="8" spans="1:1" x14ac:dyDescent="0.2">
      <c r="A8" t="s">
        <v>173</v>
      </c>
    </row>
    <row r="9" spans="1:1" x14ac:dyDescent="0.2">
      <c r="A9" t="s">
        <v>31</v>
      </c>
    </row>
    <row r="10" spans="1:1" x14ac:dyDescent="0.2">
      <c r="A10" t="s">
        <v>32</v>
      </c>
    </row>
    <row r="11" spans="1:1" x14ac:dyDescent="0.2">
      <c r="A11" t="s">
        <v>174</v>
      </c>
    </row>
    <row r="13" spans="1:1" x14ac:dyDescent="0.2">
      <c r="A13" s="15" t="s">
        <v>175</v>
      </c>
    </row>
    <row r="14" spans="1:1" x14ac:dyDescent="0.2">
      <c r="A14" t="s">
        <v>79</v>
      </c>
    </row>
    <row r="15" spans="1:1" x14ac:dyDescent="0.2">
      <c r="A15" t="s">
        <v>176</v>
      </c>
    </row>
    <row r="16" spans="1:1" x14ac:dyDescent="0.2">
      <c r="A16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35</vt:i4>
      </vt:variant>
    </vt:vector>
  </HeadingPairs>
  <TitlesOfParts>
    <vt:vector size="40" baseType="lpstr">
      <vt:lpstr>ASSUMPTIONS</vt:lpstr>
      <vt:lpstr>SOURCES &amp; USES</vt:lpstr>
      <vt:lpstr>DEBT SCHEDULE</vt:lpstr>
      <vt:lpstr>ANNUAL CASH FLOW</vt:lpstr>
      <vt:lpstr>REFERENCE DATA</vt:lpstr>
      <vt:lpstr>Amortization_Years</vt:lpstr>
      <vt:lpstr>Annual_Debt_Service</vt:lpstr>
      <vt:lpstr>Avg_Current_Rent</vt:lpstr>
      <vt:lpstr>Avg_Market_Rent</vt:lpstr>
      <vt:lpstr>CapEx_Per_Unit</vt:lpstr>
      <vt:lpstr>Common_Area_Reno</vt:lpstr>
      <vt:lpstr>Exit_Cap_Rate</vt:lpstr>
      <vt:lpstr>Hold_Period</vt:lpstr>
      <vt:lpstr>InPlace_Rent_Growth</vt:lpstr>
      <vt:lpstr>Interest_Rate</vt:lpstr>
      <vt:lpstr>Levered_IRR</vt:lpstr>
      <vt:lpstr>Loan_Amount</vt:lpstr>
      <vt:lpstr>LTV</vt:lpstr>
      <vt:lpstr>Market_Rent_Growth</vt:lpstr>
      <vt:lpstr>Mgmt_Fee_Pct</vt:lpstr>
      <vt:lpstr>Monthly_Payment</vt:lpstr>
      <vt:lpstr>OpEx_Growth</vt:lpstr>
      <vt:lpstr>Other_Income_Growth</vt:lpstr>
      <vt:lpstr>Prop13_Cap</vt:lpstr>
      <vt:lpstr>Purchase_Price</vt:lpstr>
      <vt:lpstr>Reno_Contingency_Pct</vt:lpstr>
      <vt:lpstr>Sale_Costs_Pct</vt:lpstr>
      <vt:lpstr>Special_Assessments</vt:lpstr>
      <vt:lpstr>Stabilized_Vacancy</vt:lpstr>
      <vt:lpstr>T12_EGI</vt:lpstr>
      <vt:lpstr>T12_GPR</vt:lpstr>
      <vt:lpstr>T12_NOI</vt:lpstr>
      <vt:lpstr>T12_OpEx</vt:lpstr>
      <vt:lpstr>T12_Other_Income</vt:lpstr>
      <vt:lpstr>Tax_Rate</vt:lpstr>
      <vt:lpstr>Total_Equity</vt:lpstr>
      <vt:lpstr>Total_Renovation_Budget</vt:lpstr>
      <vt:lpstr>Total_Unit_Reno_Cost</vt:lpstr>
      <vt:lpstr>Total_Units</vt:lpstr>
      <vt:lpstr>Total_Uses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Collins (Helmy)</cp:lastModifiedBy>
  <dcterms:created xsi:type="dcterms:W3CDTF">2025-12-30T22:55:04Z</dcterms:created>
  <dcterms:modified xsi:type="dcterms:W3CDTF">2025-12-30T22:55:36Z</dcterms:modified>
</cp:coreProperties>
</file>